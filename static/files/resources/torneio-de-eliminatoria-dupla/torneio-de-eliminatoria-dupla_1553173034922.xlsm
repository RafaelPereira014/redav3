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EsteLivro" defaultThemeVersion="124226"/>
  <bookViews>
    <workbookView xWindow="9975" yWindow="0" windowWidth="9180" windowHeight="9120" tabRatio="828"/>
  </bookViews>
  <sheets>
    <sheet name="CONFIGURAR" sheetId="2" r:id="rId1"/>
    <sheet name="JF DT" sheetId="11" r:id="rId2"/>
    <sheet name="JeR24" sheetId="1" r:id="rId3"/>
    <sheet name="JeR19" sheetId="6" r:id="rId4"/>
    <sheet name="JeR18" sheetId="16" r:id="rId5"/>
    <sheet name="JeR16" sheetId="10" r:id="rId6"/>
    <sheet name="JeR11" sheetId="13" r:id="rId7"/>
    <sheet name="JeR10" sheetId="7" r:id="rId8"/>
  </sheets>
  <definedNames>
    <definedName name="_xlnm.Print_Area" localSheetId="0">CONFIGURAR!$A$7:$I$41</definedName>
    <definedName name="_xlnm.Print_Area" localSheetId="7">'JeR10'!$A$1:$R$35</definedName>
    <definedName name="_xlnm.Print_Area" localSheetId="6">'JeR11'!$A$1:$R$39</definedName>
    <definedName name="_xlnm.Print_Area" localSheetId="5">'JeR16'!$A$1:$R$54</definedName>
    <definedName name="_xlnm.Print_Area" localSheetId="4">'JeR18'!$A$1:$W$64</definedName>
    <definedName name="_xlnm.Print_Area" localSheetId="3">'JeR19'!$A$1:$W$64</definedName>
    <definedName name="_xlnm.Print_Area" localSheetId="2">'JeR24'!$A$1:$W$78</definedName>
    <definedName name="_xlnm.Print_Area" localSheetId="1">'JF DT'!$A$1:$D$35</definedName>
  </definedNames>
  <calcPr calcId="145621"/>
</workbook>
</file>

<file path=xl/calcChain.xml><?xml version="1.0" encoding="utf-8"?>
<calcChain xmlns="http://schemas.openxmlformats.org/spreadsheetml/2006/main">
  <c r="AE30" i="2" l="1"/>
  <c r="AF30" i="2"/>
  <c r="AG30" i="2"/>
  <c r="D9" i="10" l="1"/>
  <c r="A60" i="16" l="1"/>
  <c r="D60" i="16" s="1"/>
  <c r="A57" i="16"/>
  <c r="A55" i="16"/>
  <c r="G55" i="16"/>
  <c r="A53" i="16"/>
  <c r="A51" i="16"/>
  <c r="D52" i="16"/>
  <c r="A49" i="16"/>
  <c r="A47" i="16"/>
  <c r="D48" i="16"/>
  <c r="D46" i="16"/>
  <c r="G47" i="16"/>
  <c r="A45" i="16"/>
  <c r="D44" i="16"/>
  <c r="A43" i="16"/>
  <c r="D42" i="16"/>
  <c r="G43" i="16"/>
  <c r="M45" i="16"/>
  <c r="P48" i="16"/>
  <c r="G37" i="16"/>
  <c r="G57" i="16"/>
  <c r="J57" i="16"/>
  <c r="M58" i="16"/>
  <c r="D33" i="16"/>
  <c r="D58" i="16"/>
  <c r="G59" i="16"/>
  <c r="W29" i="16"/>
  <c r="V29" i="16"/>
  <c r="U29" i="16"/>
  <c r="T29" i="16"/>
  <c r="D29" i="16"/>
  <c r="G31" i="16"/>
  <c r="J34" i="16"/>
  <c r="J59" i="16"/>
  <c r="W28" i="16"/>
  <c r="V28" i="16"/>
  <c r="U28" i="16"/>
  <c r="D25" i="16"/>
  <c r="D50" i="16"/>
  <c r="J51" i="16"/>
  <c r="M52" i="16"/>
  <c r="D21" i="16"/>
  <c r="J23" i="16"/>
  <c r="M29" i="16"/>
  <c r="M56" i="16"/>
  <c r="P56" i="16"/>
  <c r="T28" i="16"/>
  <c r="D17" i="16"/>
  <c r="G15" i="16"/>
  <c r="G53" i="16"/>
  <c r="J54" i="16"/>
  <c r="D13" i="16"/>
  <c r="Q11" i="16"/>
  <c r="D9" i="16"/>
  <c r="M7" i="16"/>
  <c r="V6" i="16"/>
  <c r="U6" i="16"/>
  <c r="M6" i="16"/>
  <c r="D5" i="16"/>
  <c r="G7" i="16"/>
  <c r="M11" i="16"/>
  <c r="U37" i="16"/>
  <c r="T23" i="16"/>
  <c r="B5" i="16"/>
  <c r="W2" i="16"/>
  <c r="Q13" i="16" s="1"/>
  <c r="L14" i="11"/>
  <c r="M14" i="11"/>
  <c r="N14" i="11"/>
  <c r="O14" i="11"/>
  <c r="L15" i="11"/>
  <c r="M15" i="11"/>
  <c r="N15" i="11"/>
  <c r="O15" i="11"/>
  <c r="L16" i="11"/>
  <c r="M16" i="11"/>
  <c r="N16" i="11"/>
  <c r="O16" i="11"/>
  <c r="L17" i="11"/>
  <c r="M17" i="11"/>
  <c r="N17" i="11"/>
  <c r="O17" i="11"/>
  <c r="L18" i="11"/>
  <c r="M18" i="11"/>
  <c r="N18" i="11"/>
  <c r="O18" i="11"/>
  <c r="L19" i="11"/>
  <c r="M19" i="11"/>
  <c r="N19" i="11"/>
  <c r="O19" i="11"/>
  <c r="L20" i="11"/>
  <c r="M20" i="11"/>
  <c r="N20" i="11"/>
  <c r="O20" i="11"/>
  <c r="L21" i="11"/>
  <c r="M21" i="11"/>
  <c r="N21" i="11"/>
  <c r="O21" i="11"/>
  <c r="L22" i="11"/>
  <c r="M22" i="11"/>
  <c r="N22" i="11"/>
  <c r="O22" i="11"/>
  <c r="L23" i="11"/>
  <c r="M23" i="11"/>
  <c r="N23" i="11"/>
  <c r="O23" i="11"/>
  <c r="L24" i="11"/>
  <c r="M24" i="11"/>
  <c r="N24" i="11"/>
  <c r="O24" i="11"/>
  <c r="L25" i="11"/>
  <c r="M25" i="11"/>
  <c r="N25" i="11"/>
  <c r="O25" i="11"/>
  <c r="L26" i="11"/>
  <c r="M26" i="11"/>
  <c r="N26" i="11"/>
  <c r="O26" i="11"/>
  <c r="L27" i="11"/>
  <c r="M27" i="11"/>
  <c r="N27" i="11"/>
  <c r="O27" i="11"/>
  <c r="L28" i="11"/>
  <c r="M28" i="11"/>
  <c r="N28" i="11"/>
  <c r="O28" i="11"/>
  <c r="L29" i="11"/>
  <c r="M29" i="11"/>
  <c r="N29" i="11"/>
  <c r="O29" i="11"/>
  <c r="L30" i="11"/>
  <c r="M30" i="11"/>
  <c r="N30" i="11"/>
  <c r="O30" i="11"/>
  <c r="L31" i="11"/>
  <c r="M31" i="11"/>
  <c r="N31" i="11"/>
  <c r="O31" i="11"/>
  <c r="L32" i="11"/>
  <c r="M32" i="11"/>
  <c r="N32" i="11"/>
  <c r="O32" i="11"/>
  <c r="L33" i="11"/>
  <c r="M33" i="11"/>
  <c r="N33" i="11"/>
  <c r="O33" i="11"/>
  <c r="L34" i="11"/>
  <c r="M34" i="11"/>
  <c r="N34" i="11"/>
  <c r="O34" i="11"/>
  <c r="L35" i="11"/>
  <c r="M35" i="11"/>
  <c r="N35" i="11"/>
  <c r="O35" i="11"/>
  <c r="L36" i="11"/>
  <c r="M36" i="11"/>
  <c r="N36" i="11"/>
  <c r="O36" i="11"/>
  <c r="L37" i="11"/>
  <c r="M37" i="11"/>
  <c r="N37" i="11"/>
  <c r="O37" i="11"/>
  <c r="L38" i="11"/>
  <c r="M38" i="11"/>
  <c r="N38" i="11"/>
  <c r="O38" i="11"/>
  <c r="L39" i="11"/>
  <c r="M39" i="11"/>
  <c r="N39" i="11"/>
  <c r="O39" i="11"/>
  <c r="L40" i="11"/>
  <c r="M40" i="11"/>
  <c r="N40" i="11"/>
  <c r="O40" i="11"/>
  <c r="L41" i="11"/>
  <c r="M41" i="11"/>
  <c r="N41" i="11"/>
  <c r="O41" i="11"/>
  <c r="L42" i="11"/>
  <c r="M42" i="11"/>
  <c r="N42" i="11"/>
  <c r="O42" i="11"/>
  <c r="L43" i="11"/>
  <c r="M43" i="11"/>
  <c r="N43" i="11"/>
  <c r="O43" i="11"/>
  <c r="L44" i="11"/>
  <c r="M44" i="11"/>
  <c r="N44" i="11"/>
  <c r="O44" i="11"/>
  <c r="L45" i="11"/>
  <c r="M45" i="11"/>
  <c r="N45" i="11"/>
  <c r="O45" i="11"/>
  <c r="L46" i="11"/>
  <c r="M46" i="11"/>
  <c r="N46" i="11"/>
  <c r="O46" i="11"/>
  <c r="L47" i="11"/>
  <c r="M47" i="11"/>
  <c r="N47" i="11"/>
  <c r="O47" i="11"/>
  <c r="L48" i="11"/>
  <c r="M48" i="11"/>
  <c r="N48" i="11"/>
  <c r="O48" i="11"/>
  <c r="L49" i="11"/>
  <c r="M49" i="11"/>
  <c r="N49" i="11"/>
  <c r="O49" i="11"/>
  <c r="L50" i="11"/>
  <c r="M50" i="11"/>
  <c r="N50" i="11"/>
  <c r="O50" i="11"/>
  <c r="L51" i="11"/>
  <c r="M51" i="11"/>
  <c r="N51" i="11"/>
  <c r="O51" i="11"/>
  <c r="L52" i="11"/>
  <c r="M52" i="11"/>
  <c r="N52" i="11"/>
  <c r="O52" i="11"/>
  <c r="L53" i="11"/>
  <c r="M53" i="11"/>
  <c r="N53" i="11"/>
  <c r="O53" i="11"/>
  <c r="L54" i="11"/>
  <c r="M54" i="11"/>
  <c r="N54" i="11"/>
  <c r="O54" i="11"/>
  <c r="L55" i="11"/>
  <c r="M55" i="11"/>
  <c r="N55" i="11"/>
  <c r="O55" i="11"/>
  <c r="L56" i="11"/>
  <c r="M56" i="11"/>
  <c r="N56" i="11"/>
  <c r="O56" i="11"/>
  <c r="L57" i="11"/>
  <c r="M57" i="11"/>
  <c r="N57" i="11"/>
  <c r="O57" i="11"/>
  <c r="L58" i="11"/>
  <c r="M58" i="11"/>
  <c r="N58" i="11"/>
  <c r="O58" i="11"/>
  <c r="L59" i="11"/>
  <c r="M59" i="11"/>
  <c r="N59" i="11"/>
  <c r="O59" i="11"/>
  <c r="L60" i="11"/>
  <c r="M60" i="11"/>
  <c r="N60" i="11"/>
  <c r="O60" i="11"/>
  <c r="L61" i="11"/>
  <c r="M61" i="11"/>
  <c r="N61" i="11"/>
  <c r="O61" i="11"/>
  <c r="L62" i="11"/>
  <c r="M62" i="11"/>
  <c r="N62" i="11"/>
  <c r="O62" i="11"/>
  <c r="L63" i="11"/>
  <c r="M63" i="11"/>
  <c r="N63" i="11"/>
  <c r="O63" i="11"/>
  <c r="L64" i="11"/>
  <c r="M64" i="11"/>
  <c r="N64" i="11"/>
  <c r="O64" i="11"/>
  <c r="L65" i="11"/>
  <c r="M65" i="11"/>
  <c r="N65" i="11"/>
  <c r="O65" i="11"/>
  <c r="L66" i="11"/>
  <c r="M66" i="11"/>
  <c r="N66" i="11"/>
  <c r="O66" i="11"/>
  <c r="L67" i="11"/>
  <c r="M67" i="11"/>
  <c r="N67" i="11"/>
  <c r="O67" i="11"/>
  <c r="L68" i="11"/>
  <c r="M68" i="11"/>
  <c r="N68" i="11"/>
  <c r="O68" i="11"/>
  <c r="L69" i="11"/>
  <c r="M69" i="11"/>
  <c r="N69" i="11"/>
  <c r="O69" i="11"/>
  <c r="L70" i="11"/>
  <c r="M70" i="11"/>
  <c r="N70" i="11"/>
  <c r="O70" i="11"/>
  <c r="L71" i="11"/>
  <c r="M71" i="11"/>
  <c r="N71" i="11"/>
  <c r="O71" i="11"/>
  <c r="L72" i="11"/>
  <c r="M72" i="11"/>
  <c r="N72" i="11"/>
  <c r="O72" i="11"/>
  <c r="L73" i="11"/>
  <c r="M73" i="11"/>
  <c r="N73" i="11"/>
  <c r="O73" i="11"/>
  <c r="L74" i="11"/>
  <c r="M74" i="11"/>
  <c r="N74" i="11"/>
  <c r="O74" i="11"/>
  <c r="L75" i="11"/>
  <c r="M75" i="11"/>
  <c r="N75" i="11"/>
  <c r="O75" i="11"/>
  <c r="L76" i="11"/>
  <c r="M76" i="11"/>
  <c r="N76" i="11"/>
  <c r="O76" i="11"/>
  <c r="L77" i="11"/>
  <c r="M77" i="11"/>
  <c r="N77" i="11"/>
  <c r="O77" i="11"/>
  <c r="L78" i="11"/>
  <c r="M78" i="11"/>
  <c r="N78" i="11"/>
  <c r="O78" i="11"/>
  <c r="L79" i="11"/>
  <c r="M79" i="11"/>
  <c r="N79" i="11"/>
  <c r="O79" i="11"/>
  <c r="L80" i="11"/>
  <c r="M80" i="11"/>
  <c r="N80" i="11"/>
  <c r="O80" i="11"/>
  <c r="L81" i="11"/>
  <c r="M81" i="11"/>
  <c r="N81" i="11"/>
  <c r="O81" i="11"/>
  <c r="L82" i="11"/>
  <c r="M82" i="11"/>
  <c r="N82" i="11"/>
  <c r="O82" i="11"/>
  <c r="L83" i="11"/>
  <c r="M83" i="11"/>
  <c r="N83" i="11"/>
  <c r="O83" i="11"/>
  <c r="L84" i="11"/>
  <c r="M84" i="11"/>
  <c r="N84" i="11"/>
  <c r="O84" i="11"/>
  <c r="L85" i="11"/>
  <c r="M85" i="11"/>
  <c r="N85" i="11"/>
  <c r="O85" i="11"/>
  <c r="L86" i="11"/>
  <c r="M86" i="11"/>
  <c r="N86" i="11"/>
  <c r="O86" i="11"/>
  <c r="L87" i="11"/>
  <c r="M87" i="11"/>
  <c r="N87" i="11"/>
  <c r="O87" i="11"/>
  <c r="L88" i="11"/>
  <c r="M88" i="11"/>
  <c r="N88" i="11"/>
  <c r="O88" i="11"/>
  <c r="L89" i="11"/>
  <c r="M89" i="11"/>
  <c r="N89" i="11"/>
  <c r="O89" i="11"/>
  <c r="L90" i="11"/>
  <c r="M90" i="11"/>
  <c r="N90" i="11"/>
  <c r="O90" i="11"/>
  <c r="L91" i="11"/>
  <c r="M91" i="11"/>
  <c r="N91" i="11"/>
  <c r="O91" i="11"/>
  <c r="L92" i="11"/>
  <c r="M92" i="11"/>
  <c r="N92" i="11"/>
  <c r="O92" i="11"/>
  <c r="L93" i="11"/>
  <c r="M93" i="11"/>
  <c r="N93" i="11"/>
  <c r="O93" i="11"/>
  <c r="L94" i="11"/>
  <c r="M94" i="11"/>
  <c r="N94" i="11"/>
  <c r="O94" i="11"/>
  <c r="L95" i="11"/>
  <c r="M95" i="11"/>
  <c r="N95" i="11"/>
  <c r="O95" i="11"/>
  <c r="L96" i="11"/>
  <c r="M96" i="11"/>
  <c r="N96" i="11"/>
  <c r="O96" i="11"/>
  <c r="L97" i="11"/>
  <c r="M97" i="11"/>
  <c r="N97" i="11"/>
  <c r="O97" i="11"/>
  <c r="L98" i="11"/>
  <c r="M98" i="11"/>
  <c r="N98" i="11"/>
  <c r="O98" i="11"/>
  <c r="L99" i="11"/>
  <c r="M99" i="11"/>
  <c r="N99" i="11"/>
  <c r="O99" i="11"/>
  <c r="L100" i="11"/>
  <c r="M100" i="11"/>
  <c r="N100" i="11"/>
  <c r="O100" i="11"/>
  <c r="L101" i="11"/>
  <c r="M101" i="11"/>
  <c r="N101" i="11"/>
  <c r="O101" i="11"/>
  <c r="L102" i="11"/>
  <c r="M102" i="11"/>
  <c r="N102" i="11"/>
  <c r="O102" i="11"/>
  <c r="L103" i="11"/>
  <c r="M103" i="11"/>
  <c r="N103" i="11"/>
  <c r="O103" i="11"/>
  <c r="L104" i="11"/>
  <c r="M104" i="11"/>
  <c r="N104" i="11"/>
  <c r="O104" i="11"/>
  <c r="L105" i="11"/>
  <c r="M105" i="11"/>
  <c r="N105" i="11"/>
  <c r="O105" i="11"/>
  <c r="L106" i="11"/>
  <c r="M106" i="11"/>
  <c r="N106" i="11"/>
  <c r="O106" i="11"/>
  <c r="L107" i="11"/>
  <c r="M107" i="11"/>
  <c r="N107" i="11"/>
  <c r="O107" i="11"/>
  <c r="L108" i="11"/>
  <c r="M108" i="11"/>
  <c r="N108" i="11"/>
  <c r="O108" i="11"/>
  <c r="L109" i="11"/>
  <c r="M109" i="11"/>
  <c r="N109" i="11"/>
  <c r="O109" i="11"/>
  <c r="L110" i="11"/>
  <c r="M110" i="11"/>
  <c r="N110" i="11"/>
  <c r="O110" i="11"/>
  <c r="L111" i="11"/>
  <c r="M111" i="11"/>
  <c r="N111" i="11"/>
  <c r="O111" i="11"/>
  <c r="L112" i="11"/>
  <c r="M112" i="11"/>
  <c r="N112" i="11"/>
  <c r="O112" i="11"/>
  <c r="L113" i="11"/>
  <c r="M113" i="11"/>
  <c r="N113" i="11"/>
  <c r="O113" i="11"/>
  <c r="L114" i="11"/>
  <c r="M114" i="11"/>
  <c r="N114" i="11"/>
  <c r="O114" i="11"/>
  <c r="L115" i="11"/>
  <c r="M115" i="11"/>
  <c r="N115" i="11"/>
  <c r="O115" i="11"/>
  <c r="L116" i="11"/>
  <c r="M116" i="11"/>
  <c r="N116" i="11"/>
  <c r="O116" i="11"/>
  <c r="L117" i="11"/>
  <c r="M117" i="11"/>
  <c r="N117" i="11"/>
  <c r="O117" i="11"/>
  <c r="L118" i="11"/>
  <c r="M118" i="11"/>
  <c r="N118" i="11"/>
  <c r="O118" i="11"/>
  <c r="L119" i="11"/>
  <c r="M119" i="11"/>
  <c r="N119" i="11"/>
  <c r="O119" i="11"/>
  <c r="L120" i="11"/>
  <c r="M120" i="11"/>
  <c r="N120" i="11"/>
  <c r="O120" i="11"/>
  <c r="L121" i="11"/>
  <c r="M121" i="11"/>
  <c r="N121" i="11"/>
  <c r="O121" i="11"/>
  <c r="L122" i="11"/>
  <c r="M122" i="11"/>
  <c r="N122" i="11"/>
  <c r="O122" i="11"/>
  <c r="L123" i="11"/>
  <c r="M123" i="11"/>
  <c r="N123" i="11"/>
  <c r="O123" i="11"/>
  <c r="L124" i="11"/>
  <c r="M124" i="11"/>
  <c r="N124" i="11"/>
  <c r="O124" i="11"/>
  <c r="L125" i="11"/>
  <c r="M125" i="11"/>
  <c r="N125" i="11"/>
  <c r="O125" i="11"/>
  <c r="L126" i="11"/>
  <c r="M126" i="11"/>
  <c r="N126" i="11"/>
  <c r="O126" i="11"/>
  <c r="L127" i="11"/>
  <c r="M127" i="11"/>
  <c r="N127" i="11"/>
  <c r="O127" i="11"/>
  <c r="L128" i="11"/>
  <c r="M128" i="11"/>
  <c r="N128" i="11"/>
  <c r="O128" i="11"/>
  <c r="L129" i="11"/>
  <c r="M129" i="11"/>
  <c r="N129" i="11"/>
  <c r="O129" i="11"/>
  <c r="L130" i="11"/>
  <c r="M130" i="11"/>
  <c r="N130" i="11"/>
  <c r="O130" i="11"/>
  <c r="L131" i="11"/>
  <c r="M131" i="11"/>
  <c r="N131" i="11"/>
  <c r="O131" i="11"/>
  <c r="L132" i="11"/>
  <c r="M132" i="11"/>
  <c r="N132" i="11"/>
  <c r="O132" i="11"/>
  <c r="L133" i="11"/>
  <c r="M133" i="11"/>
  <c r="N133" i="11"/>
  <c r="O133" i="11"/>
  <c r="L134" i="11"/>
  <c r="M134" i="11"/>
  <c r="N134" i="11"/>
  <c r="O134" i="11"/>
  <c r="L135" i="11"/>
  <c r="M135" i="11"/>
  <c r="N135" i="11"/>
  <c r="O135" i="11"/>
  <c r="L136" i="11"/>
  <c r="M136" i="11"/>
  <c r="N136" i="11"/>
  <c r="O136" i="11"/>
  <c r="L137" i="11"/>
  <c r="M137" i="11"/>
  <c r="N137" i="11"/>
  <c r="O137" i="11"/>
  <c r="L138" i="11"/>
  <c r="M138" i="11"/>
  <c r="N138" i="11"/>
  <c r="O138" i="11"/>
  <c r="L139" i="11"/>
  <c r="M139" i="11"/>
  <c r="N139" i="11"/>
  <c r="O139" i="11"/>
  <c r="L140" i="11"/>
  <c r="M140" i="11"/>
  <c r="N140" i="11"/>
  <c r="O140" i="11"/>
  <c r="L141" i="11"/>
  <c r="M141" i="11"/>
  <c r="N141" i="11"/>
  <c r="O141" i="11"/>
  <c r="L142" i="11"/>
  <c r="M142" i="11"/>
  <c r="N142" i="11"/>
  <c r="O142" i="11"/>
  <c r="L143" i="11"/>
  <c r="M143" i="11"/>
  <c r="N143" i="11"/>
  <c r="O143" i="11"/>
  <c r="L144" i="11"/>
  <c r="M144" i="11"/>
  <c r="N144" i="11"/>
  <c r="O144" i="11"/>
  <c r="L145" i="11"/>
  <c r="M145" i="11"/>
  <c r="N145" i="11"/>
  <c r="O145" i="11"/>
  <c r="L146" i="11"/>
  <c r="M146" i="11"/>
  <c r="N146" i="11"/>
  <c r="O146" i="11"/>
  <c r="L147" i="11"/>
  <c r="M147" i="11"/>
  <c r="N147" i="11"/>
  <c r="O147" i="11"/>
  <c r="L148" i="11"/>
  <c r="M148" i="11"/>
  <c r="N148" i="11"/>
  <c r="O148" i="11"/>
  <c r="L149" i="11"/>
  <c r="M149" i="11"/>
  <c r="N149" i="11"/>
  <c r="O149" i="11"/>
  <c r="L150" i="11"/>
  <c r="M150" i="11"/>
  <c r="N150" i="11"/>
  <c r="O150" i="11"/>
  <c r="L151" i="11"/>
  <c r="M151" i="11"/>
  <c r="N151" i="11"/>
  <c r="O151" i="11"/>
  <c r="L152" i="11"/>
  <c r="M152" i="11"/>
  <c r="N152" i="11"/>
  <c r="O152" i="11"/>
  <c r="L153" i="11"/>
  <c r="M153" i="11"/>
  <c r="N153" i="11"/>
  <c r="O153" i="11"/>
  <c r="L154" i="11"/>
  <c r="M154" i="11"/>
  <c r="N154" i="11"/>
  <c r="O154" i="11"/>
  <c r="L155" i="11"/>
  <c r="M155" i="11"/>
  <c r="N155" i="11"/>
  <c r="O155" i="11"/>
  <c r="L156" i="11"/>
  <c r="M156" i="11"/>
  <c r="N156" i="11"/>
  <c r="O156" i="11"/>
  <c r="L157" i="11"/>
  <c r="M157" i="11"/>
  <c r="N157" i="11"/>
  <c r="O157" i="11"/>
  <c r="L158" i="11"/>
  <c r="M158" i="11"/>
  <c r="N158" i="11"/>
  <c r="O158" i="11"/>
  <c r="L159" i="11"/>
  <c r="M159" i="11"/>
  <c r="N159" i="11"/>
  <c r="O159" i="11"/>
  <c r="L160" i="11"/>
  <c r="M160" i="11"/>
  <c r="N160" i="11"/>
  <c r="O160" i="11"/>
  <c r="L161" i="11"/>
  <c r="M161" i="11"/>
  <c r="N161" i="11"/>
  <c r="O161" i="11"/>
  <c r="L162" i="11"/>
  <c r="M162" i="11"/>
  <c r="N162" i="11"/>
  <c r="O162" i="11"/>
  <c r="L163" i="11"/>
  <c r="M163" i="11"/>
  <c r="N163" i="11"/>
  <c r="O163" i="11"/>
  <c r="L164" i="11"/>
  <c r="M164" i="11"/>
  <c r="N164" i="11"/>
  <c r="O164" i="11"/>
  <c r="L165" i="11"/>
  <c r="M165" i="11"/>
  <c r="N165" i="11"/>
  <c r="O165" i="11"/>
  <c r="L166" i="11"/>
  <c r="M166" i="11"/>
  <c r="N166" i="11"/>
  <c r="O166" i="11"/>
  <c r="L167" i="11"/>
  <c r="M167" i="11"/>
  <c r="N167" i="11"/>
  <c r="O167" i="11"/>
  <c r="L168" i="11"/>
  <c r="M168" i="11"/>
  <c r="N168" i="11"/>
  <c r="O168" i="11"/>
  <c r="L169" i="11"/>
  <c r="M169" i="11"/>
  <c r="N169" i="11"/>
  <c r="O169" i="11"/>
  <c r="L170" i="11"/>
  <c r="M170" i="11"/>
  <c r="N170" i="11"/>
  <c r="O170" i="11"/>
  <c r="L171" i="11"/>
  <c r="M171" i="11"/>
  <c r="N171" i="11"/>
  <c r="O171" i="11"/>
  <c r="L172" i="11"/>
  <c r="M172" i="11"/>
  <c r="N172" i="11"/>
  <c r="O172" i="11"/>
  <c r="L173" i="11"/>
  <c r="M173" i="11"/>
  <c r="N173" i="11"/>
  <c r="O173" i="11"/>
  <c r="L174" i="11"/>
  <c r="M174" i="11"/>
  <c r="N174" i="11"/>
  <c r="O174" i="11"/>
  <c r="L175" i="11"/>
  <c r="M175" i="11"/>
  <c r="N175" i="11"/>
  <c r="O175" i="11"/>
  <c r="L176" i="11"/>
  <c r="M176" i="11"/>
  <c r="N176" i="11"/>
  <c r="O176" i="11"/>
  <c r="L177" i="11"/>
  <c r="M177" i="11"/>
  <c r="N177" i="11"/>
  <c r="O177" i="11"/>
  <c r="L178" i="11"/>
  <c r="M178" i="11"/>
  <c r="N178" i="11"/>
  <c r="O178" i="11"/>
  <c r="L179" i="11"/>
  <c r="M179" i="11"/>
  <c r="N179" i="11"/>
  <c r="O179" i="11"/>
  <c r="L180" i="11"/>
  <c r="M180" i="11"/>
  <c r="N180" i="11"/>
  <c r="O180" i="11"/>
  <c r="L181" i="11"/>
  <c r="M181" i="11"/>
  <c r="N181" i="11"/>
  <c r="O181" i="11"/>
  <c r="L182" i="11"/>
  <c r="M182" i="11"/>
  <c r="N182" i="11"/>
  <c r="O182" i="11"/>
  <c r="L183" i="11"/>
  <c r="M183" i="11"/>
  <c r="N183" i="11"/>
  <c r="O183" i="11"/>
  <c r="L184" i="11"/>
  <c r="M184" i="11"/>
  <c r="N184" i="11"/>
  <c r="O184" i="11"/>
  <c r="L185" i="11"/>
  <c r="M185" i="11"/>
  <c r="N185" i="11"/>
  <c r="O185" i="11"/>
  <c r="L186" i="11"/>
  <c r="M186" i="11"/>
  <c r="N186" i="11"/>
  <c r="O186" i="11"/>
  <c r="L187" i="11"/>
  <c r="M187" i="11"/>
  <c r="N187" i="11"/>
  <c r="O187" i="11"/>
  <c r="L188" i="11"/>
  <c r="M188" i="11"/>
  <c r="N188" i="11"/>
  <c r="O188" i="11"/>
  <c r="L189" i="11"/>
  <c r="M189" i="11"/>
  <c r="N189" i="11"/>
  <c r="O189" i="11"/>
  <c r="L190" i="11"/>
  <c r="M190" i="11"/>
  <c r="N190" i="11"/>
  <c r="O190" i="11"/>
  <c r="L191" i="11"/>
  <c r="M191" i="11"/>
  <c r="N191" i="11"/>
  <c r="O191" i="11"/>
  <c r="L192" i="11"/>
  <c r="M192" i="11"/>
  <c r="N192" i="11"/>
  <c r="O192" i="11"/>
  <c r="L193" i="11"/>
  <c r="M193" i="11"/>
  <c r="N193" i="11"/>
  <c r="O193" i="11"/>
  <c r="L194" i="11"/>
  <c r="M194" i="11"/>
  <c r="N194" i="11"/>
  <c r="O194" i="11"/>
  <c r="L195" i="11"/>
  <c r="M195" i="11"/>
  <c r="N195" i="11"/>
  <c r="O195" i="11"/>
  <c r="L196" i="11"/>
  <c r="M196" i="11"/>
  <c r="N196" i="11"/>
  <c r="O196" i="11"/>
  <c r="L197" i="11"/>
  <c r="M197" i="11"/>
  <c r="N197" i="11"/>
  <c r="O197" i="11"/>
  <c r="L198" i="11"/>
  <c r="M198" i="11"/>
  <c r="N198" i="11"/>
  <c r="O198" i="11"/>
  <c r="L199" i="11"/>
  <c r="M199" i="11"/>
  <c r="N199" i="11"/>
  <c r="O199" i="11"/>
  <c r="L200" i="11"/>
  <c r="M200" i="11"/>
  <c r="N200" i="11"/>
  <c r="O200" i="11"/>
  <c r="L201" i="11"/>
  <c r="M201" i="11"/>
  <c r="N201" i="11"/>
  <c r="O201" i="11"/>
  <c r="L202" i="11"/>
  <c r="M202" i="11"/>
  <c r="N202" i="11"/>
  <c r="O202" i="11"/>
  <c r="L203" i="11"/>
  <c r="M203" i="11"/>
  <c r="N203" i="11"/>
  <c r="O203" i="11"/>
  <c r="L204" i="11"/>
  <c r="M204" i="11"/>
  <c r="N204" i="11"/>
  <c r="O204" i="11"/>
  <c r="L205" i="11"/>
  <c r="M205" i="11"/>
  <c r="N205" i="11"/>
  <c r="O205" i="11"/>
  <c r="L206" i="11"/>
  <c r="M206" i="11"/>
  <c r="N206" i="11"/>
  <c r="O206" i="11"/>
  <c r="L207" i="11"/>
  <c r="M207" i="11"/>
  <c r="N207" i="11"/>
  <c r="O207" i="11"/>
  <c r="L208" i="11"/>
  <c r="M208" i="11"/>
  <c r="N208" i="11"/>
  <c r="O208" i="11"/>
  <c r="L209" i="11"/>
  <c r="M209" i="11"/>
  <c r="N209" i="11"/>
  <c r="O209" i="11"/>
  <c r="L210" i="11"/>
  <c r="M210" i="11"/>
  <c r="N210" i="11"/>
  <c r="O210" i="11"/>
  <c r="L211" i="11"/>
  <c r="M211" i="11"/>
  <c r="N211" i="11"/>
  <c r="O211" i="11"/>
  <c r="L212" i="11"/>
  <c r="M212" i="11"/>
  <c r="N212" i="11"/>
  <c r="O212" i="11"/>
  <c r="L213" i="11"/>
  <c r="M213" i="11"/>
  <c r="N213" i="11"/>
  <c r="O213" i="11"/>
  <c r="L214" i="11"/>
  <c r="M214" i="11"/>
  <c r="N214" i="11"/>
  <c r="O214" i="11"/>
  <c r="L215" i="11"/>
  <c r="M215" i="11"/>
  <c r="N215" i="11"/>
  <c r="O215" i="11"/>
  <c r="L216" i="11"/>
  <c r="M216" i="11"/>
  <c r="N216" i="11"/>
  <c r="O216" i="11"/>
  <c r="L217" i="11"/>
  <c r="M217" i="11"/>
  <c r="N217" i="11"/>
  <c r="O217" i="11"/>
  <c r="L218" i="11"/>
  <c r="M218" i="11"/>
  <c r="N218" i="11"/>
  <c r="O218" i="11"/>
  <c r="L219" i="11"/>
  <c r="M219" i="11"/>
  <c r="N219" i="11"/>
  <c r="O219" i="11"/>
  <c r="L220" i="11"/>
  <c r="M220" i="11"/>
  <c r="N220" i="11"/>
  <c r="O220" i="11"/>
  <c r="L221" i="11"/>
  <c r="M221" i="11"/>
  <c r="N221" i="11"/>
  <c r="O221" i="11"/>
  <c r="L222" i="11"/>
  <c r="M222" i="11"/>
  <c r="N222" i="11"/>
  <c r="O222" i="11"/>
  <c r="L223" i="11"/>
  <c r="M223" i="11"/>
  <c r="N223" i="11"/>
  <c r="O223" i="11"/>
  <c r="L224" i="11"/>
  <c r="M224" i="11"/>
  <c r="N224" i="11"/>
  <c r="O224" i="11"/>
  <c r="L225" i="11"/>
  <c r="M225" i="11"/>
  <c r="N225" i="11"/>
  <c r="O225" i="11"/>
  <c r="L226" i="11"/>
  <c r="M226" i="11"/>
  <c r="N226" i="11"/>
  <c r="O226" i="11"/>
  <c r="L227" i="11"/>
  <c r="M227" i="11"/>
  <c r="N227" i="11"/>
  <c r="O227" i="11"/>
  <c r="L228" i="11"/>
  <c r="M228" i="11"/>
  <c r="N228" i="11"/>
  <c r="O228" i="11"/>
  <c r="L229" i="11"/>
  <c r="M229" i="11"/>
  <c r="N229" i="11"/>
  <c r="O229" i="11"/>
  <c r="L230" i="11"/>
  <c r="M230" i="11"/>
  <c r="N230" i="11"/>
  <c r="O230" i="11"/>
  <c r="L231" i="11"/>
  <c r="M231" i="11"/>
  <c r="N231" i="11"/>
  <c r="O231" i="11"/>
  <c r="L232" i="11"/>
  <c r="M232" i="11"/>
  <c r="N232" i="11"/>
  <c r="O232" i="11"/>
  <c r="L233" i="11"/>
  <c r="M233" i="11"/>
  <c r="N233" i="11"/>
  <c r="O233" i="11"/>
  <c r="L234" i="11"/>
  <c r="M234" i="11"/>
  <c r="N234" i="11"/>
  <c r="O234" i="11"/>
  <c r="L235" i="11"/>
  <c r="M235" i="11"/>
  <c r="N235" i="11"/>
  <c r="O235" i="11"/>
  <c r="L236" i="11"/>
  <c r="M236" i="11"/>
  <c r="N236" i="11"/>
  <c r="O236" i="11"/>
  <c r="L237" i="11"/>
  <c r="M237" i="11"/>
  <c r="N237" i="11"/>
  <c r="O237" i="11"/>
  <c r="L238" i="11"/>
  <c r="M238" i="11"/>
  <c r="N238" i="11"/>
  <c r="O238" i="11"/>
  <c r="L239" i="11"/>
  <c r="M239" i="11"/>
  <c r="N239" i="11"/>
  <c r="O239" i="11"/>
  <c r="L240" i="11"/>
  <c r="M240" i="11"/>
  <c r="N240" i="11"/>
  <c r="O240" i="11"/>
  <c r="L241" i="11"/>
  <c r="M241" i="11"/>
  <c r="N241" i="11"/>
  <c r="O241" i="11"/>
  <c r="L242" i="11"/>
  <c r="M242" i="11"/>
  <c r="N242" i="11"/>
  <c r="O242" i="11"/>
  <c r="L243" i="11"/>
  <c r="M243" i="11"/>
  <c r="N243" i="11"/>
  <c r="O243" i="11"/>
  <c r="L244" i="11"/>
  <c r="M244" i="11"/>
  <c r="N244" i="11"/>
  <c r="O244" i="11"/>
  <c r="L245" i="11"/>
  <c r="M245" i="11"/>
  <c r="N245" i="11"/>
  <c r="O245" i="11"/>
  <c r="L246" i="11"/>
  <c r="M246" i="11"/>
  <c r="N246" i="11"/>
  <c r="O246" i="11"/>
  <c r="L247" i="11"/>
  <c r="M247" i="11"/>
  <c r="N247" i="11"/>
  <c r="O247" i="11"/>
  <c r="L248" i="11"/>
  <c r="M248" i="11"/>
  <c r="N248" i="11"/>
  <c r="O248" i="11"/>
  <c r="L249" i="11"/>
  <c r="M249" i="11"/>
  <c r="N249" i="11"/>
  <c r="O249" i="11"/>
  <c r="L250" i="11"/>
  <c r="M250" i="11"/>
  <c r="N250" i="11"/>
  <c r="O250" i="11"/>
  <c r="L251" i="11"/>
  <c r="M251" i="11"/>
  <c r="N251" i="11"/>
  <c r="O251" i="11"/>
  <c r="O18" i="13"/>
  <c r="J25" i="7"/>
  <c r="M29" i="7"/>
  <c r="G37" i="10"/>
  <c r="J53" i="1"/>
  <c r="AD8" i="2"/>
  <c r="A16" i="13" s="1"/>
  <c r="AD7" i="2"/>
  <c r="A20" i="1" s="1"/>
  <c r="AD11" i="2"/>
  <c r="AD12" i="2"/>
  <c r="AD6" i="2"/>
  <c r="A12" i="7" s="1"/>
  <c r="AD9" i="2"/>
  <c r="A38" i="1" s="1"/>
  <c r="AD10" i="2"/>
  <c r="AD35" i="2"/>
  <c r="AG41" i="2" s="1"/>
  <c r="AG42" i="2" s="1"/>
  <c r="AG43" i="2" s="1"/>
  <c r="AG44" i="2" s="1"/>
  <c r="AD36" i="2"/>
  <c r="AD37" i="2"/>
  <c r="O18" i="7"/>
  <c r="P26" i="7"/>
  <c r="J27" i="7"/>
  <c r="M25" i="7"/>
  <c r="M32" i="13"/>
  <c r="P26" i="13"/>
  <c r="J33" i="13"/>
  <c r="M28" i="13"/>
  <c r="J31" i="13"/>
  <c r="G33" i="13"/>
  <c r="G35" i="13"/>
  <c r="G29" i="13"/>
  <c r="G27" i="13"/>
  <c r="J18" i="13"/>
  <c r="G22" i="13"/>
  <c r="AD16" i="2"/>
  <c r="A36" i="6" s="1"/>
  <c r="D34" i="13"/>
  <c r="R2" i="13"/>
  <c r="P8" i="13" s="1"/>
  <c r="AD13" i="2"/>
  <c r="A10" i="16" s="1"/>
  <c r="B5" i="13"/>
  <c r="D5" i="13"/>
  <c r="M5" i="13"/>
  <c r="P5" i="13"/>
  <c r="Q5" i="13"/>
  <c r="M6" i="13"/>
  <c r="J7" i="13"/>
  <c r="M8" i="13"/>
  <c r="D9" i="13"/>
  <c r="AD15" i="2"/>
  <c r="O11" i="13"/>
  <c r="D13" i="13"/>
  <c r="G15" i="13"/>
  <c r="O15" i="13"/>
  <c r="D17" i="13"/>
  <c r="AD14" i="2"/>
  <c r="A26" i="10" s="1"/>
  <c r="P18" i="13"/>
  <c r="Q18" i="13"/>
  <c r="R18" i="13"/>
  <c r="O19" i="13"/>
  <c r="P19" i="13"/>
  <c r="Q19" i="13"/>
  <c r="R19" i="13"/>
  <c r="D21" i="13"/>
  <c r="A22" i="13"/>
  <c r="P22" i="13"/>
  <c r="D26" i="13"/>
  <c r="A27" i="13"/>
  <c r="A29" i="13"/>
  <c r="D28" i="13"/>
  <c r="A33" i="13"/>
  <c r="D32" i="13"/>
  <c r="A31" i="13"/>
  <c r="D30" i="13"/>
  <c r="A36" i="13"/>
  <c r="D36" i="13" s="1"/>
  <c r="M13" i="11"/>
  <c r="N13" i="11"/>
  <c r="O13" i="11"/>
  <c r="N12" i="11"/>
  <c r="O12" i="11"/>
  <c r="M12" i="11"/>
  <c r="L13" i="11"/>
  <c r="L12" i="11"/>
  <c r="S236" i="2"/>
  <c r="S226" i="2"/>
  <c r="S216" i="2"/>
  <c r="S206" i="2"/>
  <c r="S196" i="2"/>
  <c r="S186" i="2"/>
  <c r="S176" i="2"/>
  <c r="S166" i="2"/>
  <c r="S156" i="2"/>
  <c r="S146" i="2"/>
  <c r="S136" i="2"/>
  <c r="S126" i="2"/>
  <c r="S116" i="2"/>
  <c r="S106" i="2"/>
  <c r="S96" i="2"/>
  <c r="S86" i="2"/>
  <c r="S76" i="2"/>
  <c r="S66" i="2"/>
  <c r="S56" i="2"/>
  <c r="S46" i="2"/>
  <c r="S36" i="2"/>
  <c r="S26" i="2"/>
  <c r="S16" i="2"/>
  <c r="S6" i="2"/>
  <c r="M5" i="2"/>
  <c r="G28" i="7"/>
  <c r="B5" i="7"/>
  <c r="A5" i="11"/>
  <c r="D8" i="11"/>
  <c r="B8" i="11"/>
  <c r="C9" i="11"/>
  <c r="A3" i="11"/>
  <c r="H12" i="2"/>
  <c r="G47" i="10"/>
  <c r="P25" i="10"/>
  <c r="M47" i="10"/>
  <c r="M40" i="10"/>
  <c r="J48" i="10"/>
  <c r="J45" i="10"/>
  <c r="J42" i="10"/>
  <c r="J39" i="10"/>
  <c r="J27" i="10"/>
  <c r="J11" i="10"/>
  <c r="G49" i="10"/>
  <c r="G45" i="10"/>
  <c r="G43" i="10"/>
  <c r="G41" i="10"/>
  <c r="G31" i="10"/>
  <c r="G23" i="10"/>
  <c r="G15" i="10"/>
  <c r="G7" i="10"/>
  <c r="D48" i="10"/>
  <c r="D44" i="10"/>
  <c r="D40" i="10"/>
  <c r="D36" i="10"/>
  <c r="A51" i="10"/>
  <c r="D50" i="10"/>
  <c r="A47" i="10"/>
  <c r="D46" i="10"/>
  <c r="A43" i="10"/>
  <c r="D42" i="10"/>
  <c r="A39" i="10"/>
  <c r="D38" i="10"/>
  <c r="P37" i="10"/>
  <c r="P34" i="10"/>
  <c r="A49" i="10"/>
  <c r="A45" i="10"/>
  <c r="A41" i="10"/>
  <c r="A37" i="10"/>
  <c r="D33" i="10"/>
  <c r="D29" i="10"/>
  <c r="D25" i="10"/>
  <c r="D21" i="10"/>
  <c r="D17" i="10"/>
  <c r="D13" i="10"/>
  <c r="D5" i="10"/>
  <c r="R2" i="10"/>
  <c r="N12" i="10" s="1"/>
  <c r="A4" i="10"/>
  <c r="B5" i="10"/>
  <c r="J6" i="10"/>
  <c r="P6" i="10"/>
  <c r="Q6" i="10"/>
  <c r="J7" i="10"/>
  <c r="AD21" i="2"/>
  <c r="A8" i="16" s="1"/>
  <c r="N10" i="10"/>
  <c r="AD18" i="2"/>
  <c r="A16" i="1" s="1"/>
  <c r="AD19" i="2"/>
  <c r="AD20" i="2"/>
  <c r="A34" i="10" s="1"/>
  <c r="P16" i="10"/>
  <c r="AD17" i="2"/>
  <c r="A22" i="16" s="1"/>
  <c r="P21" i="10"/>
  <c r="G59" i="6"/>
  <c r="G55" i="6"/>
  <c r="G51" i="6"/>
  <c r="G47" i="6"/>
  <c r="J43" i="6"/>
  <c r="J57" i="6"/>
  <c r="M51" i="6"/>
  <c r="P48" i="6"/>
  <c r="M58" i="6"/>
  <c r="M46" i="6"/>
  <c r="M56" i="6"/>
  <c r="M11" i="6"/>
  <c r="U37" i="6"/>
  <c r="B5" i="6"/>
  <c r="V6" i="1"/>
  <c r="U6" i="1"/>
  <c r="M6" i="1"/>
  <c r="V6" i="6"/>
  <c r="U6" i="6"/>
  <c r="M6" i="6"/>
  <c r="Q5" i="7"/>
  <c r="P5" i="7"/>
  <c r="M5" i="7"/>
  <c r="R2" i="7"/>
  <c r="P8" i="7" s="1"/>
  <c r="M8" i="7"/>
  <c r="M6" i="7"/>
  <c r="W2" i="6"/>
  <c r="Q13" i="6" s="1"/>
  <c r="Q11" i="6"/>
  <c r="M7" i="6"/>
  <c r="Q11" i="1"/>
  <c r="W2" i="1"/>
  <c r="Q13" i="1" s="1"/>
  <c r="G73" i="1"/>
  <c r="G69" i="1"/>
  <c r="G65" i="1"/>
  <c r="G61" i="1"/>
  <c r="G57" i="1"/>
  <c r="P72" i="1"/>
  <c r="P61" i="1"/>
  <c r="J72" i="1"/>
  <c r="M73" i="1"/>
  <c r="J64" i="1"/>
  <c r="M66" i="1"/>
  <c r="M56" i="1"/>
  <c r="J68" i="1"/>
  <c r="B5" i="1"/>
  <c r="AG7" i="2"/>
  <c r="AG8" i="2"/>
  <c r="AG9" i="2"/>
  <c r="AG10" i="2"/>
  <c r="AG11" i="2"/>
  <c r="AG12" i="2"/>
  <c r="AG13" i="2"/>
  <c r="AG14" i="2"/>
  <c r="AG15" i="2"/>
  <c r="AG16" i="2"/>
  <c r="AG17" i="2"/>
  <c r="AG18" i="2"/>
  <c r="AG19" i="2"/>
  <c r="AG20" i="2"/>
  <c r="AG21" i="2"/>
  <c r="AG22" i="2"/>
  <c r="AG23" i="2"/>
  <c r="AG24" i="2"/>
  <c r="AG25" i="2"/>
  <c r="AG26" i="2"/>
  <c r="AG27" i="2"/>
  <c r="AG28" i="2"/>
  <c r="AG29" i="2"/>
  <c r="AG6" i="2"/>
  <c r="AD22" i="2"/>
  <c r="A40" i="6" s="1"/>
  <c r="D40" i="6" s="1"/>
  <c r="AD24" i="2"/>
  <c r="A32" i="6" s="1"/>
  <c r="AD23" i="2"/>
  <c r="A26" i="6" s="1"/>
  <c r="A8" i="6"/>
  <c r="A4" i="6"/>
  <c r="M7" i="1"/>
  <c r="AD25" i="2"/>
  <c r="A6" i="1" s="1"/>
  <c r="AD26" i="2"/>
  <c r="A44" i="1" s="1"/>
  <c r="AD27" i="2"/>
  <c r="A30" i="1" s="1"/>
  <c r="AD28" i="2"/>
  <c r="AD29" i="2"/>
  <c r="A14" i="1" s="1"/>
  <c r="AE7" i="2"/>
  <c r="AF7" i="2"/>
  <c r="AE8" i="2"/>
  <c r="AF8" i="2"/>
  <c r="AE9" i="2"/>
  <c r="AF9" i="2"/>
  <c r="AE10" i="2"/>
  <c r="AF10" i="2"/>
  <c r="AE11" i="2"/>
  <c r="AF11" i="2"/>
  <c r="AE12" i="2"/>
  <c r="AF12" i="2"/>
  <c r="AE13" i="2"/>
  <c r="AF13" i="2"/>
  <c r="AE14" i="2"/>
  <c r="AF14" i="2"/>
  <c r="AE15" i="2"/>
  <c r="AF15" i="2"/>
  <c r="AE16" i="2"/>
  <c r="AF16" i="2"/>
  <c r="AE17" i="2"/>
  <c r="AF17" i="2"/>
  <c r="AE18" i="2"/>
  <c r="AF18" i="2"/>
  <c r="AE19" i="2"/>
  <c r="AF19" i="2"/>
  <c r="AE20" i="2"/>
  <c r="AF20" i="2"/>
  <c r="AE21" i="2"/>
  <c r="AF21" i="2"/>
  <c r="AE22" i="2"/>
  <c r="AF22" i="2"/>
  <c r="AE23" i="2"/>
  <c r="AF23" i="2"/>
  <c r="AE24" i="2"/>
  <c r="AF24" i="2"/>
  <c r="AE25" i="2"/>
  <c r="AF25" i="2"/>
  <c r="AE26" i="2"/>
  <c r="AF26" i="2"/>
  <c r="AE27" i="2"/>
  <c r="AF27" i="2"/>
  <c r="AE28" i="2"/>
  <c r="AF28" i="2"/>
  <c r="AE29" i="2"/>
  <c r="AF29" i="2"/>
  <c r="AF6" i="2"/>
  <c r="AE6" i="2"/>
  <c r="A46" i="1"/>
  <c r="A36" i="1"/>
  <c r="A22" i="1"/>
  <c r="D23" i="7"/>
  <c r="G24" i="7"/>
  <c r="A28" i="7"/>
  <c r="G26" i="7"/>
  <c r="D30" i="7"/>
  <c r="G30" i="7"/>
  <c r="D17" i="7"/>
  <c r="D13" i="7"/>
  <c r="G15" i="7"/>
  <c r="G21" i="7"/>
  <c r="D5" i="1"/>
  <c r="D9" i="1"/>
  <c r="D13" i="1"/>
  <c r="D21" i="6"/>
  <c r="D45" i="1"/>
  <c r="D21" i="1"/>
  <c r="A32" i="7"/>
  <c r="D32" i="7" s="1"/>
  <c r="J18" i="7"/>
  <c r="D5" i="7"/>
  <c r="J7" i="7"/>
  <c r="P22" i="7"/>
  <c r="D5" i="6"/>
  <c r="G7" i="6"/>
  <c r="D9" i="6"/>
  <c r="D13" i="6"/>
  <c r="G15" i="6"/>
  <c r="D17" i="6"/>
  <c r="J23" i="6"/>
  <c r="D25" i="6"/>
  <c r="D29" i="6"/>
  <c r="M29" i="6"/>
  <c r="G31" i="6"/>
  <c r="P56" i="6"/>
  <c r="U40" i="6"/>
  <c r="T17" i="6"/>
  <c r="D33" i="6"/>
  <c r="J35" i="6"/>
  <c r="D37" i="6"/>
  <c r="G39" i="6"/>
  <c r="T23" i="6"/>
  <c r="D46" i="6"/>
  <c r="A43" i="6"/>
  <c r="D44" i="6"/>
  <c r="A45" i="6"/>
  <c r="J59" i="6"/>
  <c r="D54" i="6"/>
  <c r="A47" i="6"/>
  <c r="D48" i="6"/>
  <c r="D52" i="6"/>
  <c r="J49" i="6"/>
  <c r="A49" i="6"/>
  <c r="D50" i="6"/>
  <c r="A51" i="6"/>
  <c r="A53" i="6"/>
  <c r="D58" i="6"/>
  <c r="T28" i="6"/>
  <c r="U28" i="6"/>
  <c r="V28" i="6"/>
  <c r="W28" i="6"/>
  <c r="A55" i="6"/>
  <c r="D56" i="6"/>
  <c r="T29" i="6"/>
  <c r="U29" i="6"/>
  <c r="V29" i="6"/>
  <c r="W29" i="6"/>
  <c r="A57" i="6"/>
  <c r="G57" i="6"/>
  <c r="D42" i="6"/>
  <c r="A60" i="6"/>
  <c r="D60" i="6" s="1"/>
  <c r="G53" i="6"/>
  <c r="D49" i="1"/>
  <c r="G47" i="1"/>
  <c r="D37" i="1"/>
  <c r="D41" i="1"/>
  <c r="G39" i="1"/>
  <c r="M43" i="1"/>
  <c r="G7" i="1"/>
  <c r="D17" i="1"/>
  <c r="G15" i="1"/>
  <c r="J11" i="1"/>
  <c r="D33" i="1"/>
  <c r="G31" i="1"/>
  <c r="J27" i="1"/>
  <c r="M18" i="1"/>
  <c r="U48" i="1"/>
  <c r="T25" i="1"/>
  <c r="A75" i="1"/>
  <c r="D74" i="1"/>
  <c r="U51" i="1"/>
  <c r="T19" i="1"/>
  <c r="A67" i="1"/>
  <c r="D66" i="1"/>
  <c r="T30" i="1"/>
  <c r="D29" i="1"/>
  <c r="D25" i="1"/>
  <c r="G23" i="1"/>
  <c r="M71" i="1"/>
  <c r="J74" i="1"/>
  <c r="A55" i="1"/>
  <c r="D54" i="1"/>
  <c r="A71" i="1"/>
  <c r="D70" i="1"/>
  <c r="A63" i="1"/>
  <c r="D62" i="1"/>
  <c r="J59" i="1"/>
  <c r="G71" i="1"/>
  <c r="G67" i="1"/>
  <c r="G63" i="1"/>
  <c r="A59" i="1"/>
  <c r="D58" i="1"/>
  <c r="D72" i="1"/>
  <c r="D68" i="1"/>
  <c r="D64" i="1"/>
  <c r="D60" i="1"/>
  <c r="D56" i="1"/>
  <c r="D52" i="1"/>
  <c r="A73" i="1"/>
  <c r="A69" i="1"/>
  <c r="A65" i="1"/>
  <c r="A61" i="1"/>
  <c r="A57" i="1"/>
  <c r="A53" i="1"/>
  <c r="W31" i="1"/>
  <c r="V31" i="1"/>
  <c r="U31" i="1"/>
  <c r="T31" i="1"/>
  <c r="W30" i="1"/>
  <c r="V30" i="1"/>
  <c r="U30" i="1"/>
  <c r="D9" i="7"/>
  <c r="A26" i="7"/>
  <c r="A24" i="7"/>
  <c r="D25" i="7"/>
  <c r="A30" i="7"/>
  <c r="O11" i="7"/>
  <c r="O15" i="7"/>
  <c r="P18" i="7"/>
  <c r="Q18" i="7"/>
  <c r="R18" i="7"/>
  <c r="O19" i="7"/>
  <c r="P19" i="7"/>
  <c r="Q19" i="7"/>
  <c r="R19" i="7"/>
  <c r="A24" i="10"/>
  <c r="A22" i="7"/>
  <c r="A14" i="7"/>
  <c r="A50" i="1"/>
  <c r="A30" i="10"/>
  <c r="A8" i="13"/>
  <c r="A6" i="10"/>
  <c r="A22" i="6"/>
  <c r="A48" i="1"/>
  <c r="A8" i="7"/>
  <c r="A24" i="1"/>
  <c r="A24" i="6"/>
  <c r="A8" i="1"/>
  <c r="A8" i="10"/>
  <c r="A18" i="7"/>
  <c r="AF41" i="2"/>
  <c r="AF42" i="2" s="1"/>
  <c r="AF43" i="2" s="1"/>
  <c r="AH41" i="2"/>
  <c r="AH42" i="2" s="1"/>
  <c r="AH43" i="2" s="1"/>
  <c r="AH44" i="2" s="1"/>
  <c r="AH45" i="2" s="1"/>
  <c r="A34" i="16"/>
  <c r="A22" i="10"/>
  <c r="A10" i="7"/>
  <c r="A10" i="13"/>
  <c r="A18" i="13"/>
  <c r="A20" i="7"/>
  <c r="A30" i="6"/>
  <c r="U40" i="16"/>
  <c r="T17" i="16"/>
  <c r="A28" i="10"/>
  <c r="A28" i="16"/>
  <c r="A28" i="6"/>
  <c r="A16" i="10"/>
  <c r="A10" i="6"/>
  <c r="A4" i="7"/>
  <c r="A28" i="1"/>
  <c r="A14" i="13"/>
  <c r="A12" i="16"/>
  <c r="A12" i="10"/>
  <c r="A12" i="6"/>
  <c r="A12" i="13"/>
  <c r="A18" i="10"/>
  <c r="A18" i="6"/>
  <c r="A18" i="16"/>
  <c r="A18" i="1"/>
  <c r="A20" i="13"/>
  <c r="A14" i="6"/>
  <c r="A32" i="10" l="1"/>
  <c r="A6" i="6"/>
  <c r="A6" i="13"/>
  <c r="A32" i="1"/>
  <c r="A12" i="1"/>
  <c r="A4" i="16"/>
  <c r="A4" i="13"/>
  <c r="A10" i="10"/>
  <c r="A6" i="16"/>
  <c r="A4" i="1"/>
  <c r="A16" i="6"/>
  <c r="A16" i="7"/>
  <c r="A10" i="1"/>
  <c r="A42" i="1"/>
  <c r="A34" i="6"/>
  <c r="A36" i="16"/>
  <c r="A14" i="10"/>
  <c r="A38" i="16"/>
  <c r="A38" i="6"/>
  <c r="A20" i="10"/>
  <c r="A6" i="7"/>
  <c r="A20" i="6"/>
  <c r="A20" i="16"/>
  <c r="A30" i="16"/>
  <c r="A24" i="13"/>
  <c r="D24" i="13" s="1"/>
  <c r="A16" i="16"/>
  <c r="A26" i="16"/>
  <c r="A26" i="1"/>
  <c r="A40" i="1"/>
  <c r="A34" i="1"/>
  <c r="A14" i="16"/>
  <c r="A24" i="16"/>
  <c r="A32" i="16"/>
  <c r="AG45" i="2"/>
  <c r="AG46" i="2" s="1"/>
  <c r="AG47" i="2" s="1"/>
  <c r="AG48" i="2" s="1"/>
  <c r="AG49" i="2" s="1"/>
  <c r="AG50" i="2" s="1"/>
  <c r="AG51" i="2" s="1"/>
  <c r="AG52" i="2" s="1"/>
  <c r="AG53" i="2" s="1"/>
  <c r="AG54" i="2" s="1"/>
  <c r="AG55" i="2" s="1"/>
  <c r="AG56" i="2" s="1"/>
  <c r="AG57" i="2" s="1"/>
  <c r="AG58" i="2" s="1"/>
  <c r="AG59" i="2" s="1"/>
  <c r="AG60" i="2" s="1"/>
  <c r="AG61" i="2" s="1"/>
  <c r="AG62" i="2" s="1"/>
  <c r="AG63" i="2" s="1"/>
  <c r="AG64" i="2" s="1"/>
  <c r="AG65" i="2" s="1"/>
  <c r="AG66" i="2" s="1"/>
  <c r="AG67" i="2" s="1"/>
  <c r="AG68" i="2" s="1"/>
  <c r="AG69" i="2" s="1"/>
  <c r="AG70" i="2" s="1"/>
  <c r="AG71" i="2" s="1"/>
  <c r="AG72" i="2" s="1"/>
  <c r="AG73" i="2" s="1"/>
  <c r="AG74" i="2" s="1"/>
  <c r="AG75" i="2" s="1"/>
  <c r="AG76" i="2" s="1"/>
  <c r="AG77" i="2" s="1"/>
  <c r="AG78" i="2" s="1"/>
  <c r="AG79" i="2" s="1"/>
  <c r="AG80" i="2" s="1"/>
  <c r="AG81" i="2" s="1"/>
  <c r="AG82" i="2" s="1"/>
  <c r="AG83" i="2" s="1"/>
  <c r="AG84" i="2" s="1"/>
  <c r="AG85" i="2" s="1"/>
  <c r="AG86" i="2" s="1"/>
  <c r="AG87" i="2" s="1"/>
  <c r="AG88" i="2" s="1"/>
  <c r="AG89" i="2" s="1"/>
  <c r="AG90" i="2" s="1"/>
  <c r="AG91" i="2" s="1"/>
  <c r="AG92" i="2" s="1"/>
  <c r="AG93" i="2" s="1"/>
  <c r="AG94" i="2" s="1"/>
  <c r="AG95" i="2" s="1"/>
  <c r="AG96" i="2" s="1"/>
  <c r="AG97" i="2" s="1"/>
  <c r="AG98" i="2" s="1"/>
  <c r="AG99" i="2" s="1"/>
  <c r="AG100" i="2" s="1"/>
  <c r="AG101" i="2" s="1"/>
  <c r="AG102" i="2" s="1"/>
  <c r="AG103" i="2" s="1"/>
  <c r="AG104" i="2" s="1"/>
  <c r="AG105" i="2" s="1"/>
  <c r="AG106" i="2" s="1"/>
  <c r="AG107" i="2" s="1"/>
  <c r="AG108" i="2" s="1"/>
  <c r="AG109" i="2" s="1"/>
  <c r="AG110" i="2" s="1"/>
  <c r="AG111" i="2" s="1"/>
  <c r="AG112" i="2" s="1"/>
  <c r="AG113" i="2" s="1"/>
  <c r="AG114" i="2" s="1"/>
  <c r="AG115" i="2" s="1"/>
  <c r="AG116" i="2" s="1"/>
  <c r="AG117" i="2" s="1"/>
  <c r="AG118" i="2" s="1"/>
  <c r="AG119" i="2" s="1"/>
  <c r="AG120" i="2" s="1"/>
  <c r="AG121" i="2" s="1"/>
  <c r="AG122" i="2" s="1"/>
  <c r="AG123" i="2" s="1"/>
  <c r="AG124" i="2" s="1"/>
  <c r="AG125" i="2" s="1"/>
  <c r="AG126" i="2" s="1"/>
  <c r="AG127" i="2" s="1"/>
  <c r="AG128" i="2" s="1"/>
  <c r="AG129" i="2" s="1"/>
  <c r="AG130" i="2" s="1"/>
  <c r="AG131" i="2" s="1"/>
  <c r="AG132" i="2" s="1"/>
  <c r="AG133" i="2" s="1"/>
  <c r="AG134" i="2" s="1"/>
  <c r="AG135" i="2" s="1"/>
  <c r="AG136" i="2" s="1"/>
  <c r="AG137" i="2" s="1"/>
  <c r="AG138" i="2" s="1"/>
  <c r="AG139" i="2" s="1"/>
  <c r="AG140" i="2" s="1"/>
  <c r="AG141" i="2" s="1"/>
  <c r="AG142" i="2" s="1"/>
  <c r="AG143" i="2" s="1"/>
  <c r="AG144" i="2" s="1"/>
  <c r="AH46" i="2"/>
  <c r="AH47" i="2" s="1"/>
  <c r="AH48" i="2" s="1"/>
  <c r="AH49" i="2" s="1"/>
  <c r="AH50" i="2" s="1"/>
  <c r="AH51" i="2" s="1"/>
  <c r="AH52" i="2" s="1"/>
  <c r="AH53" i="2" s="1"/>
  <c r="AH54" i="2" s="1"/>
  <c r="AH55" i="2" s="1"/>
  <c r="AH56" i="2" s="1"/>
  <c r="AH57" i="2" s="1"/>
  <c r="AH58" i="2" s="1"/>
  <c r="AH59" i="2" s="1"/>
  <c r="AH60" i="2" s="1"/>
  <c r="AH61" i="2" s="1"/>
  <c r="AH62" i="2" s="1"/>
  <c r="AH63" i="2" s="1"/>
  <c r="AH64" i="2" s="1"/>
  <c r="AH65" i="2" s="1"/>
  <c r="AH66" i="2" s="1"/>
  <c r="AH67" i="2" s="1"/>
  <c r="AH68" i="2" s="1"/>
  <c r="AH69" i="2" s="1"/>
  <c r="AH70" i="2" s="1"/>
  <c r="AH71" i="2" s="1"/>
  <c r="AH72" i="2" s="1"/>
  <c r="AH73" i="2" s="1"/>
  <c r="AH74" i="2" s="1"/>
  <c r="AH75" i="2" s="1"/>
  <c r="AH76" i="2" s="1"/>
  <c r="AH77" i="2" s="1"/>
  <c r="AH78" i="2" s="1"/>
  <c r="AH79" i="2" s="1"/>
  <c r="AH80" i="2" s="1"/>
  <c r="AH81" i="2" s="1"/>
  <c r="AH82" i="2" s="1"/>
  <c r="AH83" i="2" s="1"/>
  <c r="AH84" i="2" s="1"/>
  <c r="AH85" i="2" s="1"/>
  <c r="AH86" i="2" s="1"/>
  <c r="AH87" i="2" s="1"/>
  <c r="AH88" i="2" s="1"/>
  <c r="AH89" i="2" s="1"/>
  <c r="AH90" i="2" s="1"/>
  <c r="AH91" i="2" s="1"/>
  <c r="AH92" i="2" s="1"/>
  <c r="AH93" i="2" s="1"/>
  <c r="AH94" i="2" s="1"/>
  <c r="AH95" i="2" s="1"/>
  <c r="AH96" i="2" s="1"/>
  <c r="AH97" i="2" s="1"/>
  <c r="AH98" i="2" s="1"/>
  <c r="AH99" i="2" s="1"/>
  <c r="AH100" i="2" s="1"/>
  <c r="AH101" i="2" s="1"/>
  <c r="AH102" i="2" s="1"/>
  <c r="AH103" i="2" s="1"/>
  <c r="AH104" i="2" s="1"/>
  <c r="AH105" i="2" s="1"/>
  <c r="AH106" i="2" s="1"/>
  <c r="AH107" i="2" s="1"/>
  <c r="AH108" i="2" s="1"/>
  <c r="AH109" i="2" s="1"/>
  <c r="AH110" i="2" s="1"/>
  <c r="AH111" i="2" s="1"/>
  <c r="AH112" i="2" s="1"/>
  <c r="AH113" i="2" s="1"/>
  <c r="AH114" i="2" s="1"/>
  <c r="AH115" i="2" s="1"/>
  <c r="AH116" i="2" s="1"/>
  <c r="AH117" i="2" s="1"/>
  <c r="AH118" i="2" s="1"/>
  <c r="AH119" i="2" s="1"/>
  <c r="AH120" i="2" s="1"/>
  <c r="AH121" i="2" s="1"/>
  <c r="AH122" i="2" s="1"/>
  <c r="AH123" i="2" s="1"/>
  <c r="AH124" i="2" s="1"/>
  <c r="AH125" i="2" s="1"/>
  <c r="AH126" i="2" s="1"/>
  <c r="AH127" i="2" s="1"/>
  <c r="AH128" i="2" s="1"/>
  <c r="AH129" i="2" s="1"/>
  <c r="AH130" i="2" s="1"/>
  <c r="AH131" i="2" s="1"/>
  <c r="AH132" i="2" s="1"/>
  <c r="AH133" i="2" s="1"/>
  <c r="AH134" i="2" s="1"/>
  <c r="AH135" i="2" s="1"/>
  <c r="AH136" i="2" s="1"/>
  <c r="AH137" i="2" s="1"/>
  <c r="AH138" i="2" s="1"/>
  <c r="AH139" i="2" s="1"/>
  <c r="AH140" i="2" s="1"/>
  <c r="AH141" i="2" s="1"/>
  <c r="AH142" i="2" s="1"/>
  <c r="AH143" i="2" s="1"/>
  <c r="AH144" i="2" s="1"/>
  <c r="AH145" i="2" s="1"/>
  <c r="AF44" i="2"/>
  <c r="AF45" i="2" s="1"/>
  <c r="AF46" i="2" s="1"/>
  <c r="AF47" i="2" s="1"/>
  <c r="AF48" i="2" s="1"/>
  <c r="AF49" i="2" s="1"/>
  <c r="AF50" i="2" s="1"/>
  <c r="AF51" i="2" s="1"/>
  <c r="AF52" i="2" s="1"/>
  <c r="AF53" i="2" s="1"/>
  <c r="AF54" i="2" s="1"/>
  <c r="AF55" i="2" s="1"/>
  <c r="AF56" i="2" s="1"/>
  <c r="AI41" i="2"/>
  <c r="AI42" i="2" s="1"/>
  <c r="AD41" i="2"/>
  <c r="AD42" i="2" s="1"/>
  <c r="AD43" i="2" s="1"/>
  <c r="AD44" i="2" s="1"/>
  <c r="AD45" i="2" s="1"/>
  <c r="AD46" i="2" s="1"/>
  <c r="AD47" i="2" s="1"/>
  <c r="AD48" i="2" s="1"/>
  <c r="AD49" i="2" s="1"/>
  <c r="AD50" i="2" s="1"/>
  <c r="AD51" i="2" s="1"/>
  <c r="AD52" i="2" s="1"/>
  <c r="AD53" i="2" s="1"/>
  <c r="AD54" i="2" s="1"/>
  <c r="AD55" i="2" s="1"/>
  <c r="AD56" i="2" s="1"/>
  <c r="AD57" i="2" s="1"/>
  <c r="AD58" i="2" s="1"/>
  <c r="AD59" i="2" s="1"/>
  <c r="AD60" i="2" s="1"/>
  <c r="AD61" i="2" s="1"/>
  <c r="AD62" i="2" s="1"/>
  <c r="AD63" i="2" s="1"/>
  <c r="AD64" i="2" s="1"/>
  <c r="AD65" i="2" s="1"/>
  <c r="AD66" i="2" s="1"/>
  <c r="AD67" i="2" s="1"/>
  <c r="AD68" i="2" s="1"/>
  <c r="AD69" i="2" s="1"/>
  <c r="AD70" i="2" s="1"/>
  <c r="AD71" i="2" s="1"/>
  <c r="AD72" i="2" s="1"/>
  <c r="AD73" i="2" s="1"/>
  <c r="AD74" i="2" s="1"/>
  <c r="AD75" i="2" s="1"/>
  <c r="AD76" i="2" s="1"/>
  <c r="AD77" i="2" s="1"/>
  <c r="AD78" i="2" s="1"/>
  <c r="AD79" i="2" s="1"/>
  <c r="AD80" i="2" s="1"/>
  <c r="AD81" i="2" s="1"/>
  <c r="AD82" i="2" s="1"/>
  <c r="AD83" i="2" s="1"/>
  <c r="AD84" i="2" s="1"/>
  <c r="AD85" i="2" s="1"/>
  <c r="AD86" i="2" s="1"/>
  <c r="AD87" i="2" s="1"/>
  <c r="AD88" i="2" s="1"/>
  <c r="AD89" i="2" s="1"/>
  <c r="AD90" i="2" s="1"/>
  <c r="AD91" i="2" s="1"/>
  <c r="AD92" i="2" s="1"/>
  <c r="AD93" i="2" s="1"/>
  <c r="AD94" i="2" s="1"/>
  <c r="AD95" i="2" s="1"/>
  <c r="AD96" i="2" s="1"/>
  <c r="AD97" i="2" s="1"/>
  <c r="AD98" i="2" s="1"/>
  <c r="AD99" i="2" s="1"/>
  <c r="AD100" i="2" s="1"/>
  <c r="AD101" i="2" s="1"/>
  <c r="AD102" i="2" s="1"/>
  <c r="AD103" i="2" s="1"/>
  <c r="AD104" i="2" s="1"/>
  <c r="AD105" i="2" s="1"/>
  <c r="AD106" i="2" s="1"/>
  <c r="AD107" i="2" s="1"/>
  <c r="AD108" i="2" s="1"/>
  <c r="AD109" i="2" s="1"/>
  <c r="AD110" i="2" s="1"/>
  <c r="AD111" i="2" s="1"/>
  <c r="AD112" i="2" s="1"/>
  <c r="AD113" i="2" s="1"/>
  <c r="AD114" i="2" s="1"/>
  <c r="AD115" i="2" s="1"/>
  <c r="AD116" i="2" s="1"/>
  <c r="AD117" i="2" s="1"/>
  <c r="AD118" i="2" s="1"/>
  <c r="AD119" i="2" s="1"/>
  <c r="AD120" i="2" s="1"/>
  <c r="AD121" i="2" s="1"/>
  <c r="AD122" i="2" s="1"/>
  <c r="AD123" i="2" s="1"/>
  <c r="AD124" i="2" s="1"/>
  <c r="AD125" i="2" s="1"/>
  <c r="AD126" i="2" s="1"/>
  <c r="AD127" i="2" s="1"/>
  <c r="AD128" i="2" s="1"/>
  <c r="AD129" i="2" s="1"/>
  <c r="AD130" i="2" s="1"/>
  <c r="AD131" i="2" s="1"/>
  <c r="AD132" i="2" s="1"/>
  <c r="AD133" i="2" s="1"/>
  <c r="AD134" i="2" s="1"/>
  <c r="AD135" i="2" s="1"/>
  <c r="AD136" i="2" s="1"/>
  <c r="AD137" i="2" s="1"/>
  <c r="AD138" i="2" s="1"/>
  <c r="AD139" i="2" s="1"/>
  <c r="AD140" i="2" s="1"/>
  <c r="AD141" i="2" s="1"/>
  <c r="AD142" i="2" s="1"/>
  <c r="AD143" i="2" s="1"/>
  <c r="AD144" i="2" s="1"/>
  <c r="AD145" i="2" s="1"/>
  <c r="AD146" i="2" s="1"/>
  <c r="AE41" i="2"/>
  <c r="AE42" i="2" s="1"/>
  <c r="AE43" i="2" s="1"/>
  <c r="AE44" i="2" s="1"/>
  <c r="AE45" i="2" s="1"/>
  <c r="AE46" i="2" s="1"/>
  <c r="AE47" i="2" s="1"/>
  <c r="AE48" i="2" s="1"/>
  <c r="AE49" i="2" s="1"/>
  <c r="AE50" i="2" s="1"/>
  <c r="AE51" i="2" s="1"/>
  <c r="AE52" i="2" s="1"/>
  <c r="AE53" i="2" s="1"/>
  <c r="AE54" i="2" s="1"/>
  <c r="AE55" i="2" s="1"/>
  <c r="AE56" i="2" s="1"/>
  <c r="AE57" i="2" s="1"/>
  <c r="AE58" i="2" s="1"/>
  <c r="AE59" i="2" s="1"/>
  <c r="AE60" i="2" s="1"/>
  <c r="AE61" i="2" s="1"/>
  <c r="AE62" i="2" s="1"/>
  <c r="AE63" i="2" s="1"/>
  <c r="AE64" i="2" s="1"/>
  <c r="AE65" i="2" s="1"/>
  <c r="AE66" i="2" s="1"/>
  <c r="AE67" i="2" s="1"/>
  <c r="AF57" i="2" l="1"/>
  <c r="K26" i="7"/>
  <c r="AE68" i="2"/>
  <c r="AE69" i="2" s="1"/>
  <c r="AE70" i="2" s="1"/>
  <c r="AE71" i="2" s="1"/>
  <c r="B9" i="7"/>
  <c r="B9" i="1"/>
  <c r="B9" i="13"/>
  <c r="B9" i="16"/>
  <c r="B9" i="6"/>
  <c r="AI43" i="2"/>
  <c r="B9" i="10"/>
  <c r="AF58" i="2" l="1"/>
  <c r="AF59" i="2" s="1"/>
  <c r="AF60" i="2" s="1"/>
  <c r="AF61" i="2" s="1"/>
  <c r="AF62" i="2" s="1"/>
  <c r="AF63" i="2" s="1"/>
  <c r="AF64" i="2" s="1"/>
  <c r="AF65" i="2" s="1"/>
  <c r="AF66" i="2" s="1"/>
  <c r="AF67" i="2" s="1"/>
  <c r="N27" i="7"/>
  <c r="AE72" i="2"/>
  <c r="AE73" i="2" s="1"/>
  <c r="B13" i="16"/>
  <c r="B13" i="13"/>
  <c r="B13" i="1"/>
  <c r="B13" i="10"/>
  <c r="AI44" i="2"/>
  <c r="B13" i="6"/>
  <c r="B13" i="7"/>
  <c r="AF68" i="2" l="1"/>
  <c r="AF69" i="2" s="1"/>
  <c r="AF70" i="2" s="1"/>
  <c r="AF71" i="2" s="1"/>
  <c r="K40" i="10"/>
  <c r="AE74" i="2"/>
  <c r="AE75" i="2" s="1"/>
  <c r="AE76" i="2" s="1"/>
  <c r="AE77" i="2" s="1"/>
  <c r="AE78" i="2" s="1"/>
  <c r="AE79" i="2" s="1"/>
  <c r="AE80" i="2" s="1"/>
  <c r="AE81" i="2" s="1"/>
  <c r="AE82" i="2" s="1"/>
  <c r="AE83" i="2" s="1"/>
  <c r="AE84" i="2" s="1"/>
  <c r="AE85" i="2" s="1"/>
  <c r="AE86" i="2" s="1"/>
  <c r="AE87" i="2" s="1"/>
  <c r="AE88" i="2" s="1"/>
  <c r="AE89" i="2" s="1"/>
  <c r="AE90" i="2" s="1"/>
  <c r="AE91" i="2" s="1"/>
  <c r="AE92" i="2" s="1"/>
  <c r="AE93" i="2" s="1"/>
  <c r="AE94" i="2" s="1"/>
  <c r="AE95" i="2" s="1"/>
  <c r="AE96" i="2" s="1"/>
  <c r="AE97" i="2" s="1"/>
  <c r="AE98" i="2" s="1"/>
  <c r="AE99" i="2" s="1"/>
  <c r="AE100" i="2" s="1"/>
  <c r="AE101" i="2" s="1"/>
  <c r="AE102" i="2" s="1"/>
  <c r="AE103" i="2" s="1"/>
  <c r="AE104" i="2" s="1"/>
  <c r="AE105" i="2" s="1"/>
  <c r="AE106" i="2" s="1"/>
  <c r="AE107" i="2" s="1"/>
  <c r="AE108" i="2" s="1"/>
  <c r="AE109" i="2" s="1"/>
  <c r="AE110" i="2" s="1"/>
  <c r="AE111" i="2" s="1"/>
  <c r="AE112" i="2" s="1"/>
  <c r="AE113" i="2" s="1"/>
  <c r="AE114" i="2" s="1"/>
  <c r="AE115" i="2" s="1"/>
  <c r="AE116" i="2" s="1"/>
  <c r="AE117" i="2" s="1"/>
  <c r="AE118" i="2" s="1"/>
  <c r="AE119" i="2" s="1"/>
  <c r="AE120" i="2" s="1"/>
  <c r="AE121" i="2" s="1"/>
  <c r="AE122" i="2" s="1"/>
  <c r="AE123" i="2" s="1"/>
  <c r="AE124" i="2" s="1"/>
  <c r="AE125" i="2" s="1"/>
  <c r="AE126" i="2" s="1"/>
  <c r="AE127" i="2" s="1"/>
  <c r="AE128" i="2" s="1"/>
  <c r="AE129" i="2" s="1"/>
  <c r="AE130" i="2" s="1"/>
  <c r="AE131" i="2" s="1"/>
  <c r="AE132" i="2" s="1"/>
  <c r="AE133" i="2" s="1"/>
  <c r="AE134" i="2" s="1"/>
  <c r="AE135" i="2" s="1"/>
  <c r="AE136" i="2" s="1"/>
  <c r="AE137" i="2" s="1"/>
  <c r="AE138" i="2" s="1"/>
  <c r="AE139" i="2" s="1"/>
  <c r="AE140" i="2" s="1"/>
  <c r="AE141" i="2" s="1"/>
  <c r="AE142" i="2" s="1"/>
  <c r="AE143" i="2" s="1"/>
  <c r="AE144" i="2" s="1"/>
  <c r="AE145" i="2" s="1"/>
  <c r="AE146" i="2" s="1"/>
  <c r="B17" i="1"/>
  <c r="B17" i="7"/>
  <c r="AI45" i="2"/>
  <c r="B17" i="13"/>
  <c r="B17" i="16"/>
  <c r="B17" i="6"/>
  <c r="B17" i="10"/>
  <c r="AF72" i="2" l="1"/>
  <c r="AF73" i="2" s="1"/>
  <c r="N48" i="16"/>
  <c r="B21" i="10"/>
  <c r="B21" i="7"/>
  <c r="B21" i="13"/>
  <c r="B21" i="6"/>
  <c r="B21" i="1"/>
  <c r="B21" i="16"/>
  <c r="AI46" i="2"/>
  <c r="AF74" i="2" l="1"/>
  <c r="AF75" i="2" s="1"/>
  <c r="AF76" i="2" s="1"/>
  <c r="AF77" i="2" s="1"/>
  <c r="AF78" i="2" s="1"/>
  <c r="AF79" i="2" s="1"/>
  <c r="AF80" i="2" s="1"/>
  <c r="AF81" i="2" s="1"/>
  <c r="AF82" i="2" s="1"/>
  <c r="AF83" i="2" s="1"/>
  <c r="AF84" i="2" s="1"/>
  <c r="AF85" i="2" s="1"/>
  <c r="AF86" i="2" s="1"/>
  <c r="AF87" i="2" s="1"/>
  <c r="AF88" i="2" s="1"/>
  <c r="AF89" i="2" s="1"/>
  <c r="AF90" i="2" s="1"/>
  <c r="AF91" i="2" s="1"/>
  <c r="AF92" i="2" s="1"/>
  <c r="AF93" i="2" s="1"/>
  <c r="AF94" i="2" s="1"/>
  <c r="AF95" i="2" s="1"/>
  <c r="AF96" i="2" s="1"/>
  <c r="AF97" i="2" s="1"/>
  <c r="AF98" i="2" s="1"/>
  <c r="AF99" i="2" s="1"/>
  <c r="AF100" i="2" s="1"/>
  <c r="AF101" i="2" s="1"/>
  <c r="AF102" i="2" s="1"/>
  <c r="AF103" i="2" s="1"/>
  <c r="AF104" i="2" s="1"/>
  <c r="AF105" i="2" s="1"/>
  <c r="AF106" i="2" s="1"/>
  <c r="AF107" i="2" s="1"/>
  <c r="AF108" i="2" s="1"/>
  <c r="AF109" i="2" s="1"/>
  <c r="AF110" i="2" s="1"/>
  <c r="AF111" i="2" s="1"/>
  <c r="AF112" i="2" s="1"/>
  <c r="AF113" i="2" s="1"/>
  <c r="AF114" i="2" s="1"/>
  <c r="AF115" i="2" s="1"/>
  <c r="AF116" i="2" s="1"/>
  <c r="AF117" i="2" s="1"/>
  <c r="AF118" i="2" s="1"/>
  <c r="AF119" i="2" s="1"/>
  <c r="AF120" i="2" s="1"/>
  <c r="AF121" i="2" s="1"/>
  <c r="AF122" i="2" s="1"/>
  <c r="AF123" i="2" s="1"/>
  <c r="AF124" i="2" s="1"/>
  <c r="AF125" i="2" s="1"/>
  <c r="AF126" i="2" s="1"/>
  <c r="AF127" i="2" s="1"/>
  <c r="AF128" i="2" s="1"/>
  <c r="AF129" i="2" s="1"/>
  <c r="AF130" i="2" s="1"/>
  <c r="AF131" i="2" s="1"/>
  <c r="AF132" i="2" s="1"/>
  <c r="AF133" i="2" s="1"/>
  <c r="AF134" i="2" s="1"/>
  <c r="AF135" i="2" s="1"/>
  <c r="AF136" i="2" s="1"/>
  <c r="AF137" i="2" s="1"/>
  <c r="AF138" i="2" s="1"/>
  <c r="AF139" i="2" s="1"/>
  <c r="AF140" i="2" s="1"/>
  <c r="AF141" i="2" s="1"/>
  <c r="AF142" i="2" s="1"/>
  <c r="AF143" i="2" s="1"/>
  <c r="AF144" i="2" s="1"/>
  <c r="AF145" i="2" s="1"/>
  <c r="N48" i="6"/>
  <c r="B25" i="16"/>
  <c r="B25" i="1"/>
  <c r="B25" i="10"/>
  <c r="AI47" i="2"/>
  <c r="B25" i="6"/>
  <c r="B28" i="13"/>
  <c r="B25" i="7"/>
  <c r="B32" i="13" l="1"/>
  <c r="B29" i="1"/>
  <c r="B29" i="10"/>
  <c r="B29" i="16"/>
  <c r="AI48" i="2"/>
  <c r="B29" i="6"/>
  <c r="B29" i="7"/>
  <c r="AI49" i="2" l="1"/>
  <c r="B33" i="6"/>
  <c r="E7" i="13"/>
  <c r="E7" i="7"/>
  <c r="B33" i="16"/>
  <c r="B33" i="10"/>
  <c r="B33" i="1"/>
  <c r="AI50" i="2" l="1"/>
  <c r="E15" i="13"/>
  <c r="E15" i="7"/>
  <c r="B38" i="10"/>
  <c r="B37" i="16"/>
  <c r="B37" i="1"/>
  <c r="B37" i="6"/>
  <c r="B41" i="1" l="1"/>
  <c r="B44" i="16"/>
  <c r="E24" i="7"/>
  <c r="B44" i="6"/>
  <c r="E22" i="13"/>
  <c r="B42" i="10"/>
  <c r="AI51" i="2"/>
  <c r="B48" i="6" l="1"/>
  <c r="E27" i="13"/>
  <c r="B45" i="1"/>
  <c r="AI52" i="2"/>
  <c r="B48" i="16"/>
  <c r="E31" i="7"/>
  <c r="B46" i="10"/>
  <c r="B52" i="6" l="1"/>
  <c r="B52" i="16"/>
  <c r="AI53" i="2"/>
  <c r="B50" i="10"/>
  <c r="B49" i="1"/>
  <c r="E31" i="13"/>
  <c r="H18" i="7"/>
  <c r="B54" i="1" l="1"/>
  <c r="E35" i="13"/>
  <c r="B56" i="16"/>
  <c r="E7" i="10"/>
  <c r="H25" i="7"/>
  <c r="AI54" i="2"/>
  <c r="B56" i="6"/>
  <c r="H29" i="7" l="1"/>
  <c r="E7" i="16"/>
  <c r="AI55" i="2"/>
  <c r="H18" i="13"/>
  <c r="E7" i="6"/>
  <c r="B58" i="1"/>
  <c r="E15" i="10"/>
  <c r="E23" i="10" l="1"/>
  <c r="H28" i="13"/>
  <c r="H34" i="13" s="1"/>
  <c r="K12" i="13" s="1"/>
  <c r="K32" i="13" s="1"/>
  <c r="N30" i="13" s="1"/>
  <c r="Q23" i="13" s="1"/>
  <c r="K12" i="7"/>
  <c r="Q23" i="7" s="1"/>
  <c r="AI56" i="2"/>
  <c r="E15" i="6"/>
  <c r="E15" i="16"/>
  <c r="B62" i="1"/>
  <c r="AI57" i="2" l="1"/>
  <c r="E23" i="6"/>
  <c r="E23" i="16"/>
  <c r="E31" i="10"/>
  <c r="B66" i="1"/>
  <c r="E31" i="6" l="1"/>
  <c r="AI58" i="2"/>
  <c r="E37" i="10"/>
  <c r="B70" i="1"/>
  <c r="E31" i="16"/>
  <c r="E43" i="16" l="1"/>
  <c r="E39" i="6"/>
  <c r="AI59" i="2"/>
  <c r="E41" i="10"/>
  <c r="B74" i="1"/>
  <c r="E45" i="10" l="1"/>
  <c r="E43" i="6"/>
  <c r="E47" i="16"/>
  <c r="AI60" i="2"/>
  <c r="E7" i="1"/>
  <c r="AI61" i="2" l="1"/>
  <c r="E15" i="1"/>
  <c r="E47" i="6"/>
  <c r="E49" i="10"/>
  <c r="E51" i="16"/>
  <c r="H45" i="16"/>
  <c r="E59" i="16" l="1"/>
  <c r="E23" i="1"/>
  <c r="E51" i="6"/>
  <c r="AI62" i="2"/>
  <c r="H11" i="10"/>
  <c r="AI63" i="2" l="1"/>
  <c r="H11" i="16"/>
  <c r="H27" i="10"/>
  <c r="E31" i="1"/>
  <c r="E55" i="6"/>
  <c r="E59" i="6" l="1"/>
  <c r="H39" i="10"/>
  <c r="AI64" i="2"/>
  <c r="E39" i="1"/>
  <c r="H34" i="16"/>
  <c r="AI65" i="2" l="1"/>
  <c r="H11" i="6"/>
  <c r="H44" i="10"/>
  <c r="E47" i="1"/>
  <c r="AI66" i="2" l="1"/>
  <c r="E53" i="1"/>
  <c r="H48" i="10"/>
  <c r="H54" i="16"/>
  <c r="H35" i="6"/>
  <c r="E57" i="1" l="1"/>
  <c r="K18" i="10"/>
  <c r="H49" i="6"/>
  <c r="AI67" i="2"/>
  <c r="H58" i="16"/>
  <c r="H54" i="6" l="1"/>
  <c r="AI68" i="2"/>
  <c r="K29" i="16"/>
  <c r="E61" i="1"/>
  <c r="AI69" i="2" l="1"/>
  <c r="K46" i="10"/>
  <c r="N43" i="10" s="1"/>
  <c r="Q35" i="10" s="1"/>
  <c r="E65" i="1"/>
  <c r="H58" i="6"/>
  <c r="K52" i="16"/>
  <c r="K29" i="6" l="1"/>
  <c r="E69" i="1"/>
  <c r="AI70" i="2"/>
  <c r="K58" i="16"/>
  <c r="AI71" i="2" l="1"/>
  <c r="E73" i="1"/>
  <c r="K46" i="6"/>
  <c r="N19" i="16"/>
  <c r="AI72" i="2" l="1"/>
  <c r="K58" i="6"/>
  <c r="H11" i="1"/>
  <c r="N57" i="16"/>
  <c r="Q52" i="16" s="1"/>
  <c r="V38" i="16" s="1"/>
  <c r="N57" i="6" l="1"/>
  <c r="Q52" i="6"/>
  <c r="V38" i="6" s="1"/>
  <c r="AI73" i="2"/>
  <c r="N20" i="6"/>
  <c r="H27" i="1"/>
  <c r="AI74" i="2" l="1"/>
  <c r="H43" i="1"/>
  <c r="AI75" i="2" l="1"/>
  <c r="H59" i="1"/>
  <c r="H64" i="1" l="1"/>
  <c r="AI76" i="2"/>
  <c r="AI77" i="2" l="1"/>
  <c r="H68" i="1"/>
  <c r="AI78" i="2" l="1"/>
  <c r="H72" i="1"/>
  <c r="AI79" i="2" l="1"/>
  <c r="K18" i="1"/>
  <c r="K56" i="1" l="1"/>
  <c r="AI80" i="2"/>
  <c r="AI81" i="2" l="1"/>
  <c r="K66" i="1"/>
  <c r="AI82" i="2" l="1"/>
  <c r="K73" i="1"/>
  <c r="N29" i="1" l="1"/>
  <c r="AI83" i="2"/>
  <c r="N61" i="1" l="1"/>
  <c r="AI84" i="2"/>
  <c r="AI85" i="2" l="1"/>
  <c r="AI86" i="2" s="1"/>
  <c r="AI87" i="2" s="1"/>
  <c r="AI88" i="2" s="1"/>
  <c r="AI89" i="2" s="1"/>
  <c r="AI90" i="2" s="1"/>
  <c r="AI91" i="2" s="1"/>
  <c r="AI92" i="2" s="1"/>
  <c r="AI93" i="2" s="1"/>
  <c r="AI94" i="2" s="1"/>
  <c r="AI95" i="2" s="1"/>
  <c r="AI96" i="2" s="1"/>
  <c r="AI97" i="2" s="1"/>
  <c r="AI98" i="2" s="1"/>
  <c r="AI99" i="2" s="1"/>
  <c r="AI100" i="2" s="1"/>
  <c r="AI101" i="2" s="1"/>
  <c r="AI102" i="2" s="1"/>
  <c r="AI103" i="2" s="1"/>
  <c r="AI104" i="2" s="1"/>
  <c r="AI105" i="2" s="1"/>
  <c r="AI106" i="2" s="1"/>
  <c r="AI107" i="2" s="1"/>
  <c r="AI108" i="2" s="1"/>
  <c r="AI109" i="2" s="1"/>
  <c r="AI110" i="2" s="1"/>
  <c r="AI111" i="2" s="1"/>
  <c r="AI112" i="2" s="1"/>
  <c r="AI113" i="2" s="1"/>
  <c r="AI114" i="2" s="1"/>
  <c r="AI115" i="2" s="1"/>
  <c r="AI116" i="2" s="1"/>
  <c r="AI117" i="2" s="1"/>
  <c r="AI118" i="2" s="1"/>
  <c r="AI119" i="2" s="1"/>
  <c r="AI120" i="2" s="1"/>
  <c r="AI121" i="2" s="1"/>
  <c r="AI122" i="2" s="1"/>
  <c r="AI123" i="2" s="1"/>
  <c r="AI124" i="2" s="1"/>
  <c r="AI125" i="2" s="1"/>
  <c r="AI126" i="2" s="1"/>
  <c r="AI127" i="2" s="1"/>
  <c r="AI128" i="2" s="1"/>
  <c r="AI129" i="2" s="1"/>
  <c r="AI130" i="2" s="1"/>
  <c r="AI131" i="2" s="1"/>
  <c r="AI132" i="2" s="1"/>
  <c r="AI133" i="2" s="1"/>
  <c r="AI134" i="2" s="1"/>
  <c r="AI135" i="2" s="1"/>
  <c r="AI136" i="2" s="1"/>
  <c r="AI137" i="2" s="1"/>
  <c r="AI138" i="2" s="1"/>
  <c r="AI139" i="2" s="1"/>
  <c r="AI140" i="2" s="1"/>
  <c r="AI141" i="2" s="1"/>
  <c r="AI142" i="2" s="1"/>
  <c r="N72" i="1"/>
  <c r="Q66" i="1" s="1"/>
  <c r="V49" i="1" s="1"/>
</calcChain>
</file>

<file path=xl/sharedStrings.xml><?xml version="1.0" encoding="utf-8"?>
<sst xmlns="http://schemas.openxmlformats.org/spreadsheetml/2006/main" count="1324" uniqueCount="133">
  <si>
    <t xml:space="preserve">Jogo 1 </t>
  </si>
  <si>
    <t xml:space="preserve">Jogo 2 </t>
  </si>
  <si>
    <t xml:space="preserve">Jogo 4 </t>
  </si>
  <si>
    <t xml:space="preserve">Jogo 6 </t>
  </si>
  <si>
    <t xml:space="preserve">Jogo 3 </t>
  </si>
  <si>
    <t xml:space="preserve">Jogo 5 </t>
  </si>
  <si>
    <t xml:space="preserve">Jogo 10 </t>
  </si>
  <si>
    <t xml:space="preserve">Jogo 11 </t>
  </si>
  <si>
    <t xml:space="preserve">Jogo 12 </t>
  </si>
  <si>
    <t>Jogo 7</t>
  </si>
  <si>
    <t>Jogo 13</t>
  </si>
  <si>
    <t>Jogo 15</t>
  </si>
  <si>
    <t>Jogo 16</t>
  </si>
  <si>
    <t>Jogo 18</t>
  </si>
  <si>
    <t>Jogo 19</t>
  </si>
  <si>
    <t>Jogo 20</t>
  </si>
  <si>
    <t>Jogo 21</t>
  </si>
  <si>
    <t>Jogo 23</t>
  </si>
  <si>
    <t>1ª fase</t>
  </si>
  <si>
    <t>2ª fase</t>
  </si>
  <si>
    <t>3ª fase</t>
  </si>
  <si>
    <t>4ª fase</t>
  </si>
  <si>
    <t>5ª fase</t>
  </si>
  <si>
    <t>6ª fase</t>
  </si>
  <si>
    <t>n.º</t>
  </si>
  <si>
    <t>ano</t>
  </si>
  <si>
    <t>turma</t>
  </si>
  <si>
    <t>Jogo 8</t>
  </si>
  <si>
    <t>Jogo 9</t>
  </si>
  <si>
    <t>Jogo 14</t>
  </si>
  <si>
    <t>FINAL</t>
  </si>
  <si>
    <t>Jogo</t>
  </si>
  <si>
    <t>Nome</t>
  </si>
  <si>
    <t>Jogo 17</t>
  </si>
  <si>
    <t>Jogo 22</t>
  </si>
  <si>
    <t>Jogo 24</t>
  </si>
  <si>
    <t>Jogo 25</t>
  </si>
  <si>
    <t>Jogo 26</t>
  </si>
  <si>
    <t>Jogo 27</t>
  </si>
  <si>
    <t>Jogo 28</t>
  </si>
  <si>
    <t>Jogo 29</t>
  </si>
  <si>
    <t>Jogo 30</t>
  </si>
  <si>
    <t>Jogo 31</t>
  </si>
  <si>
    <t>Jogo 32</t>
  </si>
  <si>
    <t>Jogo 33</t>
  </si>
  <si>
    <t>Jogo 34</t>
  </si>
  <si>
    <t>Jogo 35</t>
  </si>
  <si>
    <t>Jogo 36</t>
  </si>
  <si>
    <t>Jogo 37</t>
  </si>
  <si>
    <t>Jogo 38</t>
  </si>
  <si>
    <t>Jogo 39</t>
  </si>
  <si>
    <t>Jogo 40</t>
  </si>
  <si>
    <t>Jogo 41</t>
  </si>
  <si>
    <t>Jogo 42</t>
  </si>
  <si>
    <t>Jogo 43</t>
  </si>
  <si>
    <t>Jogo 44</t>
  </si>
  <si>
    <t>Jogo 45</t>
  </si>
  <si>
    <t>7ª fase</t>
  </si>
  <si>
    <t>Jogo 10</t>
  </si>
  <si>
    <t>Jogo 11</t>
  </si>
  <si>
    <t>Jogo 12</t>
  </si>
  <si>
    <t>Jogo 6</t>
  </si>
  <si>
    <r>
      <t>Quem perde na Tabela cinzenta</t>
    </r>
    <r>
      <rPr>
        <b/>
        <sz val="20"/>
        <color indexed="54"/>
        <rFont val="Calibri"/>
        <family val="2"/>
      </rPr>
      <t>, passa para a azul.</t>
    </r>
  </si>
  <si>
    <r>
      <t xml:space="preserve">Quem perde na Tabela azul, </t>
    </r>
    <r>
      <rPr>
        <b/>
        <sz val="20"/>
        <color indexed="8"/>
        <rFont val="Calibri"/>
        <family val="2"/>
      </rPr>
      <t>termina o torneio.</t>
    </r>
  </si>
  <si>
    <t>Inscrições</t>
  </si>
  <si>
    <t>Identificar Torneio</t>
  </si>
  <si>
    <t>Escalão</t>
  </si>
  <si>
    <t>FC</t>
  </si>
  <si>
    <t>(Falta de Comparência)</t>
  </si>
  <si>
    <t>Género</t>
  </si>
  <si>
    <t>ELIMINATÓRIA DUPLA</t>
  </si>
  <si>
    <t>Nome (Jogador /Equipa)</t>
  </si>
  <si>
    <t>CONFIGURAR Competição</t>
  </si>
  <si>
    <t>Duração de cada Jogo:</t>
  </si>
  <si>
    <t>hh:mm</t>
  </si>
  <si>
    <t>hh:mm:ss</t>
  </si>
  <si>
    <t>JUSTIFICAÇÕES Director de Turma</t>
  </si>
  <si>
    <t>(quando se aplicar)</t>
  </si>
  <si>
    <t>Local</t>
  </si>
  <si>
    <t>Hora e Data</t>
  </si>
  <si>
    <t>Hora de Início dos jogos:</t>
  </si>
  <si>
    <t>Tempo de Transição entre jogos:</t>
  </si>
  <si>
    <t>Hora de Fim da Justificação</t>
  </si>
  <si>
    <t>Hora de Início da Justificação</t>
  </si>
  <si>
    <t>hora início</t>
  </si>
  <si>
    <t>duração jogo</t>
  </si>
  <si>
    <t>intervalo entre jogos</t>
  </si>
  <si>
    <t>jogo</t>
  </si>
  <si>
    <t>n.º de campos</t>
  </si>
  <si>
    <t>N.º de Campos Disponíveis:</t>
  </si>
  <si>
    <t xml:space="preserve"> </t>
  </si>
  <si>
    <t>Justificação de FALTAS</t>
  </si>
  <si>
    <t xml:space="preserve">e as </t>
  </si>
  <si>
    <t>do dia</t>
  </si>
  <si>
    <t/>
  </si>
  <si>
    <t>Cálculo da hora dos Jogos (prevista)</t>
  </si>
  <si>
    <t>Nome da equipa</t>
  </si>
  <si>
    <t>(em caso de Falta, eliminar o(os) elemento(os) desta lista)</t>
  </si>
  <si>
    <t>Nome dos seus ELEMENTOS</t>
  </si>
  <si>
    <t>COMO ACTIVAR MACROS:</t>
  </si>
  <si>
    <t>- as MACROS são SEGURAS e INDISPENSÁVEIS para o funcionamento da folha -</t>
  </si>
  <si>
    <t>(pode aumentar as imagens, para melhor visualização)</t>
  </si>
  <si>
    <t>! É necessário ACTIVAR MACROS!</t>
  </si>
  <si>
    <r>
      <t xml:space="preserve">Segundo este sistema de eliminatórias, a equipa/jogador só é eliminada(o) do Torneio quando averba a SEGUNDA derrota.
</t>
    </r>
    <r>
      <rPr>
        <b/>
        <sz val="8"/>
        <color indexed="16"/>
        <rFont val="Calibri"/>
        <family val="2"/>
      </rPr>
      <t>LIMITADO</t>
    </r>
    <r>
      <rPr>
        <b/>
        <sz val="8"/>
        <rFont val="Calibri"/>
        <family val="2"/>
      </rPr>
      <t xml:space="preserve"> a 24 equipas/jogadores; </t>
    </r>
    <r>
      <rPr>
        <b/>
        <sz val="8"/>
        <color indexed="16"/>
        <rFont val="Calibri"/>
        <family val="2"/>
      </rPr>
      <t>LIMITADO</t>
    </r>
    <r>
      <rPr>
        <b/>
        <sz val="8"/>
        <rFont val="Calibri"/>
        <family val="2"/>
      </rPr>
      <t xml:space="preserve"> a MÁX 6 CAMPOS em simultâneo (apenas no cálculo da hora prevista dos jogos).</t>
    </r>
    <r>
      <rPr>
        <b/>
        <sz val="8"/>
        <color indexed="16"/>
        <rFont val="Calibri"/>
        <family val="2"/>
      </rPr>
      <t xml:space="preserve"> LIMITADO</t>
    </r>
    <r>
      <rPr>
        <b/>
        <sz val="8"/>
        <rFont val="Calibri"/>
        <family val="2"/>
      </rPr>
      <t xml:space="preserve"> a 10 elementos por equipa (para efeitos de justificação de faltas).</t>
    </r>
  </si>
  <si>
    <t>A</t>
  </si>
  <si>
    <t>B</t>
  </si>
  <si>
    <t>C</t>
  </si>
  <si>
    <t>D</t>
  </si>
  <si>
    <t>E</t>
  </si>
  <si>
    <t>F</t>
  </si>
  <si>
    <t>G</t>
  </si>
  <si>
    <t>H</t>
  </si>
  <si>
    <t>I</t>
  </si>
  <si>
    <t>J</t>
  </si>
  <si>
    <t>K</t>
  </si>
  <si>
    <t>L</t>
  </si>
  <si>
    <t>M</t>
  </si>
  <si>
    <t>N</t>
  </si>
  <si>
    <t>O</t>
  </si>
  <si>
    <t>P</t>
  </si>
  <si>
    <t>Q</t>
  </si>
  <si>
    <t>R</t>
  </si>
  <si>
    <t>S</t>
  </si>
  <si>
    <t>T</t>
  </si>
  <si>
    <t>U</t>
  </si>
  <si>
    <t>V</t>
  </si>
  <si>
    <t>W</t>
  </si>
  <si>
    <t>X</t>
  </si>
  <si>
    <t>dd.mm.aaaa</t>
  </si>
  <si>
    <t>Xxxxxxx Xxxxxxxxxxxxx</t>
  </si>
  <si>
    <t>Xxx Xxxxxxxxxxx</t>
  </si>
  <si>
    <t>XXXXXXXX</t>
  </si>
  <si>
    <t>Campos disponíveis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</si>
</sst>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h:mm;@"/>
    <numFmt numFmtId="165" formatCode="h:mm:ss;@"/>
    <numFmt numFmtId="166" formatCode="_-* #,##0.00\ [$€-1]_-;\-* #,##0.00\ [$€-1]_-;_-* &quot;-&quot;??\ [$€-1]_-"/>
  </numFmts>
  <fonts count="77" x14ac:knownFonts="1">
    <font>
      <sz val="10"/>
      <name val="Arial Rounded MT Bold"/>
    </font>
    <font>
      <sz val="8"/>
      <name val="Arial Rounded MT Bold"/>
      <family val="2"/>
    </font>
    <font>
      <sz val="10"/>
      <name val="Calibri"/>
      <family val="2"/>
    </font>
    <font>
      <sz val="10"/>
      <color indexed="22"/>
      <name val="Calibri"/>
      <family val="2"/>
    </font>
    <font>
      <sz val="8"/>
      <name val="Calibri"/>
      <family val="2"/>
    </font>
    <font>
      <sz val="12"/>
      <color indexed="8"/>
      <name val="Calibri"/>
      <family val="2"/>
    </font>
    <font>
      <b/>
      <sz val="10"/>
      <color indexed="16"/>
      <name val="Calibri"/>
      <family val="2"/>
    </font>
    <font>
      <b/>
      <sz val="12"/>
      <color indexed="16"/>
      <name val="Calibri"/>
      <family val="2"/>
    </font>
    <font>
      <sz val="12"/>
      <name val="Calibri"/>
      <family val="2"/>
    </font>
    <font>
      <sz val="14"/>
      <color indexed="18"/>
      <name val="Calibri"/>
      <family val="2"/>
    </font>
    <font>
      <sz val="10"/>
      <color indexed="16"/>
      <name val="Calibri"/>
      <family val="2"/>
    </font>
    <font>
      <b/>
      <sz val="11"/>
      <name val="Calibri"/>
      <family val="2"/>
    </font>
    <font>
      <b/>
      <sz val="14"/>
      <color indexed="16"/>
      <name val="Calibri"/>
      <family val="2"/>
    </font>
    <font>
      <b/>
      <sz val="10"/>
      <name val="Calibri"/>
      <family val="2"/>
    </font>
    <font>
      <b/>
      <sz val="12"/>
      <name val="Calibri"/>
      <family val="2"/>
    </font>
    <font>
      <sz val="10"/>
      <color indexed="8"/>
      <name val="Calibri"/>
      <family val="2"/>
    </font>
    <font>
      <sz val="12"/>
      <color indexed="9"/>
      <name val="Calibri"/>
      <family val="2"/>
    </font>
    <font>
      <b/>
      <sz val="11"/>
      <color indexed="8"/>
      <name val="Calibri"/>
      <family val="2"/>
    </font>
    <font>
      <b/>
      <sz val="11"/>
      <color indexed="9"/>
      <name val="Calibri"/>
      <family val="2"/>
    </font>
    <font>
      <sz val="14"/>
      <color indexed="63"/>
      <name val="Calibri"/>
      <family val="2"/>
    </font>
    <font>
      <sz val="10"/>
      <color indexed="63"/>
      <name val="Calibri"/>
      <family val="2"/>
    </font>
    <font>
      <sz val="10"/>
      <color indexed="18"/>
      <name val="Calibri"/>
      <family val="2"/>
    </font>
    <font>
      <b/>
      <sz val="20"/>
      <color indexed="18"/>
      <name val="Calibri"/>
      <family val="2"/>
    </font>
    <font>
      <b/>
      <sz val="36"/>
      <color indexed="18"/>
      <name val="Calibri"/>
      <family val="2"/>
    </font>
    <font>
      <b/>
      <sz val="48"/>
      <color indexed="18"/>
      <name val="Calibri"/>
      <family val="2"/>
    </font>
    <font>
      <sz val="16"/>
      <color indexed="18"/>
      <name val="Calibri"/>
      <family val="2"/>
    </font>
    <font>
      <b/>
      <sz val="72"/>
      <color indexed="8"/>
      <name val="Calibri"/>
      <family val="2"/>
    </font>
    <font>
      <b/>
      <sz val="22"/>
      <color indexed="8"/>
      <name val="Calibri"/>
      <family val="2"/>
    </font>
    <font>
      <b/>
      <sz val="18"/>
      <color indexed="63"/>
      <name val="Calibri"/>
      <family val="2"/>
    </font>
    <font>
      <sz val="9"/>
      <color indexed="9"/>
      <name val="Calibri"/>
      <family val="2"/>
    </font>
    <font>
      <sz val="9"/>
      <color indexed="60"/>
      <name val="Calibri"/>
      <family val="2"/>
    </font>
    <font>
      <sz val="16"/>
      <color indexed="63"/>
      <name val="Calibri"/>
      <family val="2"/>
    </font>
    <font>
      <b/>
      <sz val="20"/>
      <color indexed="54"/>
      <name val="Calibri"/>
      <family val="2"/>
    </font>
    <font>
      <b/>
      <sz val="20"/>
      <color indexed="23"/>
      <name val="Calibri"/>
      <family val="2"/>
    </font>
    <font>
      <b/>
      <sz val="16"/>
      <color indexed="8"/>
      <name val="Calibri"/>
      <family val="2"/>
    </font>
    <font>
      <b/>
      <sz val="20"/>
      <name val="Calibri"/>
      <family val="2"/>
    </font>
    <font>
      <b/>
      <sz val="24"/>
      <color indexed="8"/>
      <name val="Calibri"/>
      <family val="2"/>
    </font>
    <font>
      <sz val="9"/>
      <color indexed="16"/>
      <name val="Calibri"/>
      <family val="2"/>
    </font>
    <font>
      <sz val="8"/>
      <color indexed="23"/>
      <name val="Calibri"/>
      <family val="2"/>
    </font>
    <font>
      <b/>
      <sz val="28"/>
      <color indexed="18"/>
      <name val="Calibri"/>
      <family val="2"/>
    </font>
    <font>
      <b/>
      <sz val="10"/>
      <color indexed="8"/>
      <name val="Calibri"/>
      <family val="2"/>
    </font>
    <font>
      <b/>
      <sz val="8"/>
      <color indexed="8"/>
      <name val="Calibri"/>
      <family val="2"/>
    </font>
    <font>
      <b/>
      <sz val="8"/>
      <name val="Calibri"/>
      <family val="2"/>
    </font>
    <font>
      <b/>
      <sz val="16"/>
      <color indexed="16"/>
      <name val="Calibri"/>
      <family val="2"/>
    </font>
    <font>
      <b/>
      <sz val="28"/>
      <color indexed="8"/>
      <name val="Calibri"/>
      <family val="2"/>
    </font>
    <font>
      <b/>
      <sz val="10"/>
      <color indexed="9"/>
      <name val="Calibri"/>
      <family val="2"/>
    </font>
    <font>
      <b/>
      <sz val="20"/>
      <color indexed="8"/>
      <name val="Calibri"/>
      <family val="2"/>
    </font>
    <font>
      <b/>
      <sz val="9"/>
      <color indexed="8"/>
      <name val="Calibri"/>
      <family val="2"/>
    </font>
    <font>
      <b/>
      <sz val="12"/>
      <color indexed="8"/>
      <name val="Calibri"/>
      <family val="2"/>
    </font>
    <font>
      <b/>
      <sz val="12"/>
      <color indexed="9"/>
      <name val="Calibri"/>
      <family val="2"/>
    </font>
    <font>
      <sz val="8"/>
      <name val="Tahoma"/>
      <family val="2"/>
    </font>
    <font>
      <sz val="8"/>
      <color indexed="9"/>
      <name val="Calibri"/>
      <family val="2"/>
    </font>
    <font>
      <sz val="14"/>
      <color indexed="9"/>
      <name val="Calibri"/>
      <family val="2"/>
    </font>
    <font>
      <b/>
      <sz val="16"/>
      <color indexed="10"/>
      <name val="Calibri"/>
      <family val="2"/>
    </font>
    <font>
      <b/>
      <sz val="10"/>
      <color indexed="23"/>
      <name val="Calibri"/>
      <family val="2"/>
    </font>
    <font>
      <b/>
      <sz val="24"/>
      <color indexed="23"/>
      <name val="Calibri"/>
      <family val="2"/>
    </font>
    <font>
      <b/>
      <sz val="8"/>
      <color indexed="23"/>
      <name val="Calibri"/>
      <family val="2"/>
    </font>
    <font>
      <b/>
      <sz val="20"/>
      <color indexed="9"/>
      <name val="Calibri"/>
      <family val="2"/>
    </font>
    <font>
      <b/>
      <sz val="14"/>
      <name val="Calibri"/>
      <family val="2"/>
    </font>
    <font>
      <b/>
      <sz val="16"/>
      <name val="Calibri"/>
      <family val="2"/>
    </font>
    <font>
      <b/>
      <sz val="22"/>
      <name val="Calibri"/>
      <family val="2"/>
    </font>
    <font>
      <b/>
      <sz val="18"/>
      <color indexed="8"/>
      <name val="Calibri"/>
      <family val="2"/>
    </font>
    <font>
      <b/>
      <sz val="18"/>
      <color indexed="18"/>
      <name val="Calibri"/>
      <family val="2"/>
    </font>
    <font>
      <b/>
      <sz val="48"/>
      <color indexed="8"/>
      <name val="Calibri"/>
      <family val="2"/>
    </font>
    <font>
      <b/>
      <sz val="28"/>
      <color indexed="8"/>
      <name val="Calibri"/>
      <family val="2"/>
    </font>
    <font>
      <b/>
      <sz val="14"/>
      <color indexed="63"/>
      <name val="Calibri"/>
      <family val="2"/>
    </font>
    <font>
      <b/>
      <sz val="26"/>
      <color indexed="9"/>
      <name val="Calibri"/>
      <family val="2"/>
    </font>
    <font>
      <b/>
      <sz val="11"/>
      <color indexed="16"/>
      <name val="Calibri"/>
      <family val="2"/>
    </font>
    <font>
      <sz val="10"/>
      <color indexed="23"/>
      <name val="Calibri"/>
      <family val="2"/>
    </font>
    <font>
      <sz val="10"/>
      <name val="Arial"/>
      <family val="2"/>
    </font>
    <font>
      <b/>
      <sz val="8"/>
      <color indexed="9"/>
      <name val="Arial"/>
      <family val="2"/>
    </font>
    <font>
      <b/>
      <i/>
      <sz val="8"/>
      <color indexed="9"/>
      <name val="Arial"/>
      <family val="2"/>
    </font>
    <font>
      <b/>
      <sz val="8"/>
      <color indexed="54"/>
      <name val="Arial"/>
      <family val="2"/>
    </font>
    <font>
      <b/>
      <sz val="12"/>
      <color indexed="9"/>
      <name val="Arial"/>
      <family val="2"/>
    </font>
    <font>
      <b/>
      <sz val="8"/>
      <color indexed="8"/>
      <name val="Arial"/>
      <family val="2"/>
    </font>
    <font>
      <b/>
      <sz val="8"/>
      <color indexed="16"/>
      <name val="Calibri"/>
      <family val="2"/>
    </font>
    <font>
      <sz val="10"/>
      <name val="Arial Rounded MT Bold"/>
      <family val="2"/>
    </font>
  </fonts>
  <fills count="9">
    <fill>
      <patternFill patternType="none"/>
    </fill>
    <fill>
      <patternFill patternType="gray125"/>
    </fill>
    <fill>
      <patternFill patternType="solid">
        <fgColor indexed="22"/>
        <bgColor indexed="64"/>
      </patternFill>
    </fill>
    <fill>
      <patternFill patternType="solid">
        <fgColor indexed="54"/>
        <bgColor indexed="64"/>
      </patternFill>
    </fill>
    <fill>
      <patternFill patternType="solid">
        <fgColor indexed="62"/>
        <bgColor indexed="64"/>
      </patternFill>
    </fill>
    <fill>
      <patternFill patternType="solid">
        <fgColor indexed="23"/>
        <bgColor indexed="64"/>
      </patternFill>
    </fill>
    <fill>
      <patternFill patternType="solid">
        <fgColor indexed="9"/>
        <bgColor indexed="64"/>
      </patternFill>
    </fill>
    <fill>
      <patternFill patternType="solid">
        <fgColor indexed="8"/>
        <bgColor indexed="64"/>
      </patternFill>
    </fill>
    <fill>
      <patternFill patternType="solid">
        <fgColor theme="0"/>
        <bgColor indexed="64"/>
      </patternFill>
    </fill>
  </fills>
  <borders count="29">
    <border>
      <left/>
      <right/>
      <top/>
      <bottom/>
      <diagonal/>
    </border>
    <border>
      <left/>
      <right/>
      <top/>
      <bottom style="thin">
        <color indexed="64"/>
      </bottom>
      <diagonal/>
    </border>
    <border>
      <left/>
      <right/>
      <top/>
      <bottom style="medium">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bottom style="thin">
        <color indexed="64"/>
      </bottom>
      <diagonal/>
    </border>
    <border>
      <left style="thin">
        <color indexed="64"/>
      </left>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s>
  <cellStyleXfs count="2">
    <xf numFmtId="0" fontId="0" fillId="0" borderId="0"/>
    <xf numFmtId="0" fontId="76" fillId="0" borderId="0"/>
  </cellStyleXfs>
  <cellXfs count="344">
    <xf numFmtId="0" fontId="0" fillId="0" borderId="0" xfId="0"/>
    <xf numFmtId="0" fontId="2" fillId="0" borderId="0" xfId="0" applyNumberFormat="1" applyFont="1" applyProtection="1"/>
    <xf numFmtId="0" fontId="3" fillId="0" borderId="0" xfId="0" applyNumberFormat="1" applyFont="1" applyAlignment="1" applyProtection="1">
      <alignment horizontal="center"/>
    </xf>
    <xf numFmtId="0" fontId="5" fillId="2" borderId="0" xfId="0" applyNumberFormat="1" applyFont="1" applyFill="1" applyBorder="1" applyAlignment="1" applyProtection="1">
      <alignment horizontal="left" vertical="center"/>
    </xf>
    <xf numFmtId="0" fontId="2" fillId="0" borderId="0" xfId="0" applyNumberFormat="1" applyFont="1" applyBorder="1" applyAlignment="1" applyProtection="1">
      <alignment vertical="center"/>
    </xf>
    <xf numFmtId="0" fontId="2" fillId="0" borderId="0" xfId="0" applyNumberFormat="1" applyFont="1" applyAlignment="1" applyProtection="1">
      <alignment vertical="center"/>
    </xf>
    <xf numFmtId="0" fontId="3" fillId="0" borderId="0" xfId="0" applyNumberFormat="1" applyFont="1" applyAlignment="1" applyProtection="1">
      <alignment horizontal="center" vertical="center"/>
    </xf>
    <xf numFmtId="0" fontId="3" fillId="0" borderId="0" xfId="0" applyNumberFormat="1" applyFont="1" applyBorder="1" applyAlignment="1" applyProtection="1">
      <alignment horizontal="center" vertical="center"/>
    </xf>
    <xf numFmtId="0" fontId="2" fillId="0" borderId="0" xfId="0" applyNumberFormat="1" applyFont="1" applyFill="1" applyBorder="1" applyAlignment="1" applyProtection="1">
      <alignment horizontal="left" vertical="center"/>
    </xf>
    <xf numFmtId="0" fontId="4" fillId="0" borderId="0" xfId="0" applyNumberFormat="1" applyFont="1" applyFill="1" applyBorder="1" applyAlignment="1" applyProtection="1">
      <alignment horizontal="center" vertical="center"/>
    </xf>
    <xf numFmtId="0" fontId="2" fillId="0" borderId="0" xfId="0" applyNumberFormat="1" applyFont="1" applyFill="1" applyBorder="1" applyAlignment="1" applyProtection="1">
      <alignment vertical="center"/>
    </xf>
    <xf numFmtId="0" fontId="2" fillId="0" borderId="0" xfId="0" applyNumberFormat="1" applyFont="1" applyFill="1" applyBorder="1" applyAlignment="1" applyProtection="1">
      <alignment horizontal="center" vertical="center"/>
    </xf>
    <xf numFmtId="0" fontId="3" fillId="0" borderId="0" xfId="0" applyNumberFormat="1" applyFont="1" applyFill="1" applyBorder="1" applyAlignment="1" applyProtection="1">
      <alignment horizontal="center" vertical="center"/>
    </xf>
    <xf numFmtId="0" fontId="5" fillId="0" borderId="0" xfId="0" applyNumberFormat="1" applyFont="1" applyFill="1" applyBorder="1" applyAlignment="1" applyProtection="1">
      <alignment horizontal="left" vertical="center"/>
    </xf>
    <xf numFmtId="0" fontId="16" fillId="3" borderId="0" xfId="0" applyNumberFormat="1" applyFont="1" applyFill="1" applyBorder="1" applyAlignment="1" applyProtection="1">
      <alignment horizontal="left" vertical="center"/>
    </xf>
    <xf numFmtId="0" fontId="9" fillId="0" borderId="0" xfId="0" applyNumberFormat="1" applyFont="1" applyFill="1" applyBorder="1" applyAlignment="1" applyProtection="1">
      <alignment horizontal="center" vertical="center"/>
    </xf>
    <xf numFmtId="0" fontId="9" fillId="0" borderId="0" xfId="0" applyNumberFormat="1" applyFont="1" applyFill="1" applyAlignment="1" applyProtection="1">
      <alignment horizontal="center" vertical="center"/>
    </xf>
    <xf numFmtId="0" fontId="21" fillId="0" borderId="0" xfId="0" applyNumberFormat="1" applyFont="1" applyAlignment="1" applyProtection="1">
      <alignment vertical="center"/>
    </xf>
    <xf numFmtId="0" fontId="6" fillId="0" borderId="0" xfId="0" applyNumberFormat="1" applyFont="1" applyFill="1" applyBorder="1" applyAlignment="1" applyProtection="1">
      <alignment horizontal="center" vertical="center"/>
    </xf>
    <xf numFmtId="0" fontId="20" fillId="0" borderId="0" xfId="0" applyNumberFormat="1" applyFont="1" applyAlignment="1" applyProtection="1">
      <alignment vertical="center"/>
    </xf>
    <xf numFmtId="0" fontId="20" fillId="0" borderId="0" xfId="0" applyNumberFormat="1" applyFont="1" applyAlignment="1" applyProtection="1">
      <alignment horizontal="center" vertical="center"/>
    </xf>
    <xf numFmtId="0" fontId="18" fillId="4" borderId="0" xfId="0" applyNumberFormat="1" applyFont="1" applyFill="1" applyBorder="1" applyAlignment="1" applyProtection="1">
      <alignment horizontal="center" vertical="center"/>
      <protection locked="0"/>
    </xf>
    <xf numFmtId="0" fontId="31" fillId="0" borderId="0" xfId="0" applyNumberFormat="1" applyFont="1" applyFill="1" applyBorder="1" applyAlignment="1" applyProtection="1">
      <alignment horizontal="center" vertical="center"/>
    </xf>
    <xf numFmtId="0" fontId="4" fillId="0" borderId="0" xfId="0" applyNumberFormat="1" applyFont="1" applyFill="1" applyBorder="1" applyAlignment="1" applyProtection="1">
      <alignment horizontal="center"/>
    </xf>
    <xf numFmtId="0" fontId="17" fillId="0" borderId="0" xfId="0" applyNumberFormat="1" applyFont="1" applyFill="1" applyBorder="1" applyAlignment="1" applyProtection="1">
      <alignment horizontal="center" vertical="center"/>
      <protection locked="0"/>
    </xf>
    <xf numFmtId="0" fontId="18" fillId="0" borderId="0" xfId="0" applyNumberFormat="1" applyFont="1" applyFill="1" applyBorder="1" applyAlignment="1" applyProtection="1">
      <alignment horizontal="center" vertical="center"/>
      <protection locked="0"/>
    </xf>
    <xf numFmtId="0" fontId="25" fillId="0" borderId="0" xfId="0" applyNumberFormat="1" applyFont="1" applyFill="1" applyBorder="1" applyAlignment="1" applyProtection="1">
      <alignment horizontal="center" vertical="center"/>
    </xf>
    <xf numFmtId="0" fontId="19" fillId="0" borderId="0" xfId="0" applyNumberFormat="1" applyFont="1" applyFill="1" applyBorder="1" applyAlignment="1" applyProtection="1">
      <alignment horizontal="center" vertical="center"/>
    </xf>
    <xf numFmtId="0" fontId="2" fillId="0" borderId="0" xfId="0" applyNumberFormat="1" applyFont="1" applyFill="1" applyBorder="1" applyAlignment="1" applyProtection="1">
      <alignment horizontal="left"/>
    </xf>
    <xf numFmtId="0" fontId="2" fillId="0" borderId="0" xfId="0" applyNumberFormat="1" applyFont="1" applyFill="1" applyBorder="1" applyProtection="1"/>
    <xf numFmtId="0" fontId="2" fillId="0" borderId="0" xfId="0" applyNumberFormat="1" applyFont="1" applyFill="1" applyBorder="1" applyAlignment="1" applyProtection="1">
      <alignment horizontal="center"/>
    </xf>
    <xf numFmtId="0" fontId="15" fillId="0" borderId="0" xfId="0" applyNumberFormat="1" applyFont="1" applyFill="1" applyBorder="1" applyAlignment="1" applyProtection="1">
      <alignment horizontal="right" vertical="center"/>
    </xf>
    <xf numFmtId="0" fontId="24" fillId="0" borderId="0" xfId="0" applyNumberFormat="1" applyFont="1" applyFill="1" applyBorder="1" applyAlignment="1" applyProtection="1">
      <alignment vertical="center"/>
    </xf>
    <xf numFmtId="0" fontId="0" fillId="0" borderId="0" xfId="0" applyFill="1" applyBorder="1" applyProtection="1"/>
    <xf numFmtId="0" fontId="3" fillId="0" borderId="0" xfId="0" applyNumberFormat="1" applyFont="1" applyFill="1" applyBorder="1" applyAlignment="1" applyProtection="1">
      <alignment horizontal="right" vertical="center"/>
    </xf>
    <xf numFmtId="0" fontId="16" fillId="0" borderId="0" xfId="0" applyNumberFormat="1" applyFont="1" applyFill="1" applyBorder="1" applyAlignment="1" applyProtection="1">
      <alignment horizontal="left" vertical="center"/>
    </xf>
    <xf numFmtId="0" fontId="10" fillId="0" borderId="0" xfId="0" applyNumberFormat="1" applyFont="1" applyFill="1" applyBorder="1" applyAlignment="1" applyProtection="1">
      <alignment horizontal="center" vertical="center"/>
    </xf>
    <xf numFmtId="0" fontId="11" fillId="0" borderId="0" xfId="0" applyNumberFormat="1" applyFont="1" applyFill="1" applyBorder="1" applyAlignment="1" applyProtection="1">
      <alignment horizontal="center" vertical="center"/>
    </xf>
    <xf numFmtId="0" fontId="23" fillId="0" borderId="0" xfId="0" applyNumberFormat="1" applyFont="1" applyFill="1" applyBorder="1" applyAlignment="1" applyProtection="1">
      <alignment vertical="center"/>
    </xf>
    <xf numFmtId="0" fontId="6" fillId="0" borderId="0" xfId="0" applyNumberFormat="1" applyFont="1" applyFill="1" applyBorder="1" applyAlignment="1" applyProtection="1">
      <alignment vertical="center"/>
    </xf>
    <xf numFmtId="0" fontId="17" fillId="5" borderId="0" xfId="0" applyNumberFormat="1" applyFont="1" applyFill="1" applyBorder="1" applyAlignment="1" applyProtection="1">
      <alignment horizontal="center" vertical="center"/>
      <protection locked="0"/>
    </xf>
    <xf numFmtId="0" fontId="28" fillId="0" borderId="0" xfId="0" applyNumberFormat="1" applyFont="1" applyFill="1" applyBorder="1" applyAlignment="1" applyProtection="1">
      <alignment horizontal="left" vertical="center"/>
    </xf>
    <xf numFmtId="0" fontId="2" fillId="0" borderId="0" xfId="0" applyNumberFormat="1" applyFont="1" applyAlignment="1" applyProtection="1">
      <alignment vertical="center" wrapText="1"/>
    </xf>
    <xf numFmtId="0" fontId="2" fillId="0" borderId="0" xfId="0" applyNumberFormat="1" applyFont="1" applyFill="1" applyBorder="1" applyAlignment="1" applyProtection="1">
      <alignment horizontal="center" vertical="center" wrapText="1"/>
    </xf>
    <xf numFmtId="0" fontId="2" fillId="0" borderId="0" xfId="0" applyNumberFormat="1" applyFont="1" applyFill="1" applyBorder="1" applyAlignment="1" applyProtection="1">
      <alignment vertical="center" wrapText="1"/>
    </xf>
    <xf numFmtId="0" fontId="15" fillId="0" borderId="0" xfId="0" applyNumberFormat="1" applyFont="1" applyFill="1" applyBorder="1" applyAlignment="1" applyProtection="1">
      <alignment vertical="center"/>
    </xf>
    <xf numFmtId="20" fontId="37" fillId="0" borderId="0" xfId="0" applyNumberFormat="1" applyFont="1" applyFill="1" applyBorder="1" applyAlignment="1" applyProtection="1">
      <alignment horizontal="center" vertical="center"/>
    </xf>
    <xf numFmtId="20" fontId="30" fillId="0" borderId="0" xfId="0" applyNumberFormat="1" applyFont="1" applyFill="1" applyBorder="1" applyAlignment="1" applyProtection="1">
      <alignment horizontal="center" vertical="center"/>
    </xf>
    <xf numFmtId="0" fontId="17" fillId="0" borderId="0" xfId="0" applyNumberFormat="1" applyFont="1" applyFill="1" applyBorder="1" applyAlignment="1" applyProtection="1">
      <alignment horizontal="center" vertical="center"/>
    </xf>
    <xf numFmtId="20" fontId="29" fillId="0" borderId="0" xfId="0" applyNumberFormat="1" applyFont="1" applyFill="1" applyBorder="1" applyAlignment="1" applyProtection="1">
      <alignment horizontal="center" vertical="center"/>
    </xf>
    <xf numFmtId="0" fontId="18" fillId="0" borderId="0" xfId="0" applyNumberFormat="1" applyFont="1" applyFill="1" applyBorder="1" applyAlignment="1" applyProtection="1">
      <alignment horizontal="center" vertical="center"/>
    </xf>
    <xf numFmtId="0" fontId="32" fillId="0" borderId="0" xfId="0" applyNumberFormat="1" applyFont="1" applyFill="1" applyBorder="1" applyAlignment="1" applyProtection="1">
      <alignment vertical="center"/>
    </xf>
    <xf numFmtId="0" fontId="10" fillId="0" borderId="0" xfId="0" applyNumberFormat="1" applyFont="1" applyFill="1" applyBorder="1" applyAlignment="1" applyProtection="1">
      <alignment vertical="center"/>
    </xf>
    <xf numFmtId="20" fontId="17" fillId="0" borderId="0" xfId="0" applyNumberFormat="1" applyFont="1" applyFill="1" applyBorder="1" applyAlignment="1" applyProtection="1">
      <alignment horizontal="center" vertical="center"/>
    </xf>
    <xf numFmtId="0" fontId="11" fillId="0" borderId="0" xfId="0" applyNumberFormat="1" applyFont="1" applyAlignment="1" applyProtection="1">
      <alignment horizontal="right" vertical="center"/>
    </xf>
    <xf numFmtId="0" fontId="48" fillId="2" borderId="0" xfId="0" applyNumberFormat="1" applyFont="1" applyFill="1" applyBorder="1" applyAlignment="1" applyProtection="1">
      <alignment vertical="center"/>
    </xf>
    <xf numFmtId="0" fontId="49" fillId="3" borderId="0" xfId="0" applyNumberFormat="1" applyFont="1" applyFill="1" applyBorder="1" applyAlignment="1" applyProtection="1">
      <alignment horizontal="left" vertical="center"/>
    </xf>
    <xf numFmtId="0" fontId="22" fillId="0" borderId="0" xfId="0" applyNumberFormat="1" applyFont="1" applyAlignment="1" applyProtection="1">
      <alignment vertical="center"/>
    </xf>
    <xf numFmtId="0" fontId="52" fillId="0" borderId="0" xfId="0" applyNumberFormat="1" applyFont="1" applyFill="1" applyBorder="1" applyAlignment="1" applyProtection="1">
      <alignment horizontal="center" vertical="center"/>
    </xf>
    <xf numFmtId="0" fontId="13" fillId="6" borderId="0" xfId="0" applyFont="1" applyFill="1" applyAlignment="1" applyProtection="1">
      <alignment horizontal="center" vertical="center"/>
    </xf>
    <xf numFmtId="0" fontId="14" fillId="6" borderId="0" xfId="0" applyFont="1" applyFill="1" applyAlignment="1" applyProtection="1">
      <alignment horizontal="right" vertical="center"/>
    </xf>
    <xf numFmtId="164" fontId="12" fillId="6" borderId="0" xfId="0" applyNumberFormat="1" applyFont="1" applyFill="1" applyBorder="1" applyAlignment="1" applyProtection="1">
      <alignment horizontal="center" vertical="center"/>
    </xf>
    <xf numFmtId="0" fontId="43" fillId="6" borderId="0" xfId="0" quotePrefix="1" applyFont="1" applyFill="1" applyBorder="1" applyAlignment="1" applyProtection="1">
      <alignment horizontal="center" vertical="center"/>
    </xf>
    <xf numFmtId="0" fontId="51" fillId="6" borderId="0" xfId="0" applyNumberFormat="1" applyFont="1" applyFill="1" applyAlignment="1" applyProtection="1">
      <alignment horizontal="center" vertical="center"/>
      <protection locked="0"/>
    </xf>
    <xf numFmtId="164" fontId="12" fillId="6" borderId="0" xfId="0" applyNumberFormat="1" applyFont="1" applyFill="1" applyAlignment="1" applyProtection="1">
      <alignment vertical="center"/>
    </xf>
    <xf numFmtId="0" fontId="13" fillId="6" borderId="0" xfId="0" applyFont="1" applyFill="1" applyAlignment="1" applyProtection="1">
      <alignment vertical="center"/>
    </xf>
    <xf numFmtId="0" fontId="42" fillId="6" borderId="0" xfId="0" applyFont="1" applyFill="1" applyAlignment="1" applyProtection="1">
      <alignment horizontal="right" vertical="center"/>
    </xf>
    <xf numFmtId="0" fontId="14" fillId="6" borderId="0" xfId="0" applyFont="1" applyFill="1" applyBorder="1" applyAlignment="1" applyProtection="1">
      <alignment horizontal="right" vertical="center"/>
    </xf>
    <xf numFmtId="0" fontId="13" fillId="6" borderId="0" xfId="0" applyFont="1" applyFill="1" applyAlignment="1" applyProtection="1">
      <alignment horizontal="left" vertical="center"/>
    </xf>
    <xf numFmtId="0" fontId="14" fillId="6" borderId="1" xfId="0" applyFont="1" applyFill="1" applyBorder="1" applyAlignment="1" applyProtection="1">
      <alignment horizontal="right" vertical="center"/>
    </xf>
    <xf numFmtId="0" fontId="13" fillId="6" borderId="0" xfId="0" applyFont="1" applyFill="1" applyBorder="1" applyAlignment="1" applyProtection="1">
      <alignment horizontal="center" vertical="center"/>
    </xf>
    <xf numFmtId="0" fontId="13" fillId="6" borderId="0" xfId="0" applyFont="1" applyFill="1" applyBorder="1" applyAlignment="1" applyProtection="1">
      <alignment vertical="center"/>
    </xf>
    <xf numFmtId="0" fontId="13" fillId="6" borderId="0" xfId="0" applyFont="1" applyFill="1" applyBorder="1" applyAlignment="1" applyProtection="1">
      <alignment horizontal="left" vertical="center"/>
    </xf>
    <xf numFmtId="0" fontId="41" fillId="6" borderId="2" xfId="0" applyFont="1" applyFill="1" applyBorder="1" applyAlignment="1" applyProtection="1">
      <alignment horizontal="left" vertical="center"/>
    </xf>
    <xf numFmtId="0" fontId="40" fillId="6" borderId="2" xfId="0" applyFont="1" applyFill="1" applyBorder="1" applyAlignment="1" applyProtection="1">
      <alignment horizontal="center" vertical="center"/>
    </xf>
    <xf numFmtId="0" fontId="40" fillId="6" borderId="0" xfId="0" applyFont="1" applyFill="1" applyAlignment="1" applyProtection="1">
      <alignment horizontal="left" vertical="center"/>
    </xf>
    <xf numFmtId="0" fontId="38" fillId="6" borderId="0" xfId="0" applyFont="1" applyFill="1" applyBorder="1" applyAlignment="1" applyProtection="1">
      <alignment horizontal="center" vertical="center"/>
    </xf>
    <xf numFmtId="0" fontId="6" fillId="6" borderId="0" xfId="0" applyFont="1" applyFill="1" applyAlignment="1" applyProtection="1">
      <alignment horizontal="left" vertical="center"/>
    </xf>
    <xf numFmtId="0" fontId="40" fillId="6" borderId="0" xfId="0" applyFont="1" applyFill="1" applyAlignment="1" applyProtection="1">
      <alignment horizontal="right" vertical="center"/>
    </xf>
    <xf numFmtId="0" fontId="53" fillId="6" borderId="0" xfId="0" quotePrefix="1" applyFont="1" applyFill="1" applyBorder="1" applyAlignment="1" applyProtection="1">
      <alignment horizontal="center" vertical="center"/>
    </xf>
    <xf numFmtId="0" fontId="13" fillId="6" borderId="1" xfId="0" applyFont="1" applyFill="1" applyBorder="1" applyAlignment="1" applyProtection="1">
      <alignment horizontal="center" vertical="center"/>
    </xf>
    <xf numFmtId="0" fontId="13" fillId="6" borderId="3" xfId="0" applyFont="1" applyFill="1" applyBorder="1" applyAlignment="1" applyProtection="1">
      <alignment horizontal="center" vertical="center"/>
    </xf>
    <xf numFmtId="0" fontId="14" fillId="6" borderId="3" xfId="0" applyFont="1" applyFill="1" applyBorder="1" applyAlignment="1" applyProtection="1">
      <alignment horizontal="right" vertical="center"/>
    </xf>
    <xf numFmtId="0" fontId="13" fillId="6" borderId="0" xfId="0" applyFont="1" applyFill="1" applyAlignment="1">
      <alignment horizontal="center"/>
    </xf>
    <xf numFmtId="0" fontId="13" fillId="6" borderId="1" xfId="0" applyFont="1" applyFill="1" applyBorder="1" applyAlignment="1" applyProtection="1">
      <alignment horizontal="left" vertical="center"/>
    </xf>
    <xf numFmtId="0" fontId="13" fillId="6" borderId="1" xfId="0" applyFont="1" applyFill="1" applyBorder="1" applyAlignment="1" applyProtection="1">
      <alignment vertical="center"/>
    </xf>
    <xf numFmtId="0" fontId="51" fillId="6" borderId="0" xfId="0" applyNumberFormat="1" applyFont="1" applyFill="1" applyAlignment="1" applyProtection="1">
      <alignment horizontal="center" vertical="center"/>
    </xf>
    <xf numFmtId="0" fontId="13" fillId="6" borderId="0" xfId="0" applyFont="1" applyFill="1" applyAlignment="1" applyProtection="1">
      <alignment horizontal="right" vertical="center"/>
    </xf>
    <xf numFmtId="0" fontId="13" fillId="6" borderId="0" xfId="0" applyFont="1" applyFill="1" applyBorder="1" applyAlignment="1" applyProtection="1">
      <alignment horizontal="right" vertical="center"/>
    </xf>
    <xf numFmtId="0" fontId="13" fillId="6" borderId="1" xfId="0" applyFont="1" applyFill="1" applyBorder="1" applyAlignment="1" applyProtection="1">
      <alignment horizontal="right" vertical="center"/>
    </xf>
    <xf numFmtId="0" fontId="56" fillId="6" borderId="0" xfId="0" applyFont="1" applyFill="1" applyAlignment="1" applyProtection="1">
      <alignment horizontal="center" vertical="center"/>
    </xf>
    <xf numFmtId="0" fontId="56" fillId="6" borderId="0" xfId="0" applyFont="1" applyFill="1" applyBorder="1" applyAlignment="1" applyProtection="1">
      <alignment horizontal="center" vertical="center"/>
    </xf>
    <xf numFmtId="0" fontId="56" fillId="6" borderId="1" xfId="0" applyFont="1" applyFill="1" applyBorder="1" applyAlignment="1" applyProtection="1">
      <alignment horizontal="center" vertical="center"/>
    </xf>
    <xf numFmtId="0" fontId="54" fillId="6" borderId="0" xfId="0" applyFont="1" applyFill="1" applyAlignment="1" applyProtection="1">
      <alignment horizontal="right" vertical="center"/>
    </xf>
    <xf numFmtId="0" fontId="14" fillId="6" borderId="4" xfId="0" applyFont="1" applyFill="1" applyBorder="1" applyAlignment="1" applyProtection="1">
      <alignment horizontal="right" vertical="center"/>
    </xf>
    <xf numFmtId="0" fontId="13" fillId="6" borderId="4" xfId="0" applyFont="1" applyFill="1" applyBorder="1" applyAlignment="1" applyProtection="1">
      <alignment horizontal="center" vertical="center"/>
    </xf>
    <xf numFmtId="0" fontId="56" fillId="6" borderId="4" xfId="0" applyFont="1" applyFill="1" applyBorder="1" applyAlignment="1" applyProtection="1">
      <alignment horizontal="center" vertical="center"/>
    </xf>
    <xf numFmtId="0" fontId="40" fillId="6" borderId="0" xfId="0" applyFont="1" applyFill="1" applyBorder="1" applyAlignment="1" applyProtection="1">
      <alignment vertical="center"/>
    </xf>
    <xf numFmtId="0" fontId="54" fillId="0" borderId="5" xfId="0" applyFont="1" applyFill="1" applyBorder="1" applyAlignment="1" applyProtection="1">
      <alignment horizontal="center" vertical="center"/>
    </xf>
    <xf numFmtId="0" fontId="54" fillId="0" borderId="6" xfId="0" applyFont="1" applyFill="1" applyBorder="1" applyAlignment="1" applyProtection="1">
      <alignment horizontal="center" vertical="center"/>
    </xf>
    <xf numFmtId="0" fontId="13" fillId="0" borderId="7" xfId="0" applyFont="1" applyFill="1" applyBorder="1" applyAlignment="1" applyProtection="1">
      <alignment horizontal="left" vertical="center"/>
    </xf>
    <xf numFmtId="0" fontId="13" fillId="0" borderId="0" xfId="0" applyFont="1" applyFill="1" applyAlignment="1" applyProtection="1">
      <alignment horizontal="left" vertical="center"/>
    </xf>
    <xf numFmtId="0" fontId="54" fillId="0" borderId="8" xfId="0" applyFont="1" applyFill="1" applyBorder="1" applyAlignment="1" applyProtection="1">
      <alignment horizontal="center" vertical="center"/>
    </xf>
    <xf numFmtId="0" fontId="54" fillId="0" borderId="0" xfId="0" applyFont="1" applyFill="1" applyBorder="1" applyAlignment="1" applyProtection="1">
      <alignment horizontal="center" vertical="center"/>
    </xf>
    <xf numFmtId="0" fontId="13" fillId="0" borderId="9" xfId="0" applyFont="1" applyFill="1" applyBorder="1" applyAlignment="1" applyProtection="1">
      <alignment horizontal="left" vertical="center"/>
    </xf>
    <xf numFmtId="0" fontId="54" fillId="0" borderId="8" xfId="0" applyFont="1" applyFill="1" applyBorder="1" applyAlignment="1" applyProtection="1">
      <alignment horizontal="left" vertical="center"/>
    </xf>
    <xf numFmtId="0" fontId="56" fillId="0" borderId="2" xfId="0" applyFont="1" applyFill="1" applyBorder="1" applyAlignment="1" applyProtection="1">
      <alignment horizontal="left" vertical="center"/>
    </xf>
    <xf numFmtId="0" fontId="54" fillId="0" borderId="2" xfId="0" applyFont="1" applyFill="1" applyBorder="1" applyAlignment="1" applyProtection="1">
      <alignment horizontal="center" vertical="center"/>
    </xf>
    <xf numFmtId="0" fontId="54" fillId="0" borderId="10" xfId="0" applyFont="1" applyFill="1" applyBorder="1" applyAlignment="1" applyProtection="1">
      <alignment horizontal="center" vertical="center"/>
    </xf>
    <xf numFmtId="0" fontId="54" fillId="0" borderId="0" xfId="0" applyFont="1" applyFill="1" applyBorder="1" applyAlignment="1" applyProtection="1">
      <alignment horizontal="left" vertical="center"/>
    </xf>
    <xf numFmtId="0" fontId="56" fillId="0" borderId="0" xfId="0" applyFont="1" applyFill="1" applyBorder="1" applyAlignment="1" applyProtection="1">
      <alignment horizontal="left" vertical="center"/>
    </xf>
    <xf numFmtId="0" fontId="13" fillId="0" borderId="9" xfId="0" applyFont="1" applyFill="1" applyBorder="1" applyAlignment="1" applyProtection="1">
      <alignment vertical="center"/>
    </xf>
    <xf numFmtId="0" fontId="13" fillId="0" borderId="0" xfId="0" applyFont="1" applyFill="1" applyAlignment="1" applyProtection="1">
      <alignment vertical="center"/>
    </xf>
    <xf numFmtId="0" fontId="38" fillId="0" borderId="11" xfId="0" applyFont="1" applyFill="1" applyBorder="1" applyAlignment="1" applyProtection="1">
      <alignment horizontal="center" vertical="center"/>
    </xf>
    <xf numFmtId="0" fontId="54" fillId="0" borderId="12" xfId="0" applyFont="1" applyFill="1" applyBorder="1" applyAlignment="1" applyProtection="1">
      <alignment horizontal="left" vertical="center"/>
    </xf>
    <xf numFmtId="0" fontId="54" fillId="0" borderId="12" xfId="0" applyFont="1" applyFill="1" applyBorder="1" applyAlignment="1" applyProtection="1">
      <alignment horizontal="center" vertical="center"/>
    </xf>
    <xf numFmtId="0" fontId="38" fillId="0" borderId="13" xfId="0" applyFont="1" applyFill="1" applyBorder="1" applyAlignment="1" applyProtection="1">
      <alignment horizontal="center" vertical="center"/>
    </xf>
    <xf numFmtId="0" fontId="54" fillId="0" borderId="14" xfId="0" applyFont="1" applyFill="1" applyBorder="1" applyAlignment="1" applyProtection="1">
      <alignment horizontal="left" vertical="center"/>
    </xf>
    <xf numFmtId="0" fontId="54" fillId="0" borderId="14" xfId="0" applyFont="1" applyFill="1" applyBorder="1" applyAlignment="1" applyProtection="1">
      <alignment horizontal="center" vertical="center"/>
    </xf>
    <xf numFmtId="0" fontId="13" fillId="0" borderId="15" xfId="0" applyFont="1" applyFill="1" applyBorder="1" applyAlignment="1" applyProtection="1">
      <alignment horizontal="left"/>
    </xf>
    <xf numFmtId="0" fontId="13" fillId="0" borderId="0" xfId="0" applyFont="1" applyFill="1" applyBorder="1" applyAlignment="1" applyProtection="1">
      <alignment horizontal="left"/>
    </xf>
    <xf numFmtId="0" fontId="13" fillId="0" borderId="16" xfId="0" applyFont="1" applyFill="1" applyBorder="1" applyAlignment="1" applyProtection="1">
      <alignment horizontal="center" vertical="center"/>
    </xf>
    <xf numFmtId="0" fontId="13" fillId="0" borderId="0" xfId="0" applyFont="1" applyFill="1" applyBorder="1" applyAlignment="1" applyProtection="1">
      <alignment vertical="center"/>
    </xf>
    <xf numFmtId="0" fontId="13" fillId="0" borderId="0" xfId="0" applyFont="1" applyFill="1" applyAlignment="1" applyProtection="1">
      <alignment horizontal="right"/>
    </xf>
    <xf numFmtId="21" fontId="13" fillId="0" borderId="0" xfId="0" applyNumberFormat="1" applyFont="1" applyFill="1" applyAlignment="1" applyProtection="1">
      <alignment horizontal="center"/>
    </xf>
    <xf numFmtId="0" fontId="13" fillId="0" borderId="0" xfId="0" applyFont="1" applyFill="1" applyAlignment="1" applyProtection="1">
      <alignment horizontal="center"/>
    </xf>
    <xf numFmtId="0" fontId="13" fillId="0" borderId="16" xfId="0" applyFont="1" applyFill="1" applyBorder="1" applyAlignment="1" applyProtection="1">
      <alignment horizontal="center"/>
    </xf>
    <xf numFmtId="0" fontId="13" fillId="0" borderId="17" xfId="0" applyFont="1" applyFill="1" applyBorder="1" applyAlignment="1" applyProtection="1">
      <alignment horizontal="center"/>
    </xf>
    <xf numFmtId="0" fontId="13" fillId="0" borderId="0" xfId="0" applyFont="1" applyFill="1" applyAlignment="1" applyProtection="1">
      <alignment horizontal="left"/>
    </xf>
    <xf numFmtId="0" fontId="54" fillId="0" borderId="0" xfId="0" applyFont="1" applyFill="1" applyAlignment="1" applyProtection="1">
      <alignment horizontal="center"/>
    </xf>
    <xf numFmtId="0" fontId="54" fillId="0" borderId="1" xfId="0" applyFont="1" applyFill="1" applyBorder="1" applyAlignment="1" applyProtection="1">
      <alignment horizontal="center"/>
    </xf>
    <xf numFmtId="0" fontId="13" fillId="0" borderId="18" xfId="0" applyFont="1" applyFill="1" applyBorder="1" applyAlignment="1" applyProtection="1">
      <alignment horizontal="center" vertical="center"/>
    </xf>
    <xf numFmtId="0" fontId="13" fillId="0" borderId="1" xfId="0" applyFont="1" applyFill="1" applyBorder="1" applyAlignment="1" applyProtection="1">
      <alignment horizontal="center" vertical="center"/>
    </xf>
    <xf numFmtId="164" fontId="13" fillId="0" borderId="19" xfId="0" applyNumberFormat="1" applyFont="1" applyFill="1" applyBorder="1" applyAlignment="1" applyProtection="1">
      <alignment horizontal="center" vertical="center"/>
    </xf>
    <xf numFmtId="164" fontId="13" fillId="0" borderId="0" xfId="0" applyNumberFormat="1" applyFont="1" applyFill="1" applyAlignment="1" applyProtection="1">
      <alignment horizontal="center" vertical="center"/>
    </xf>
    <xf numFmtId="0" fontId="54" fillId="0" borderId="20" xfId="0" applyFont="1" applyFill="1" applyBorder="1" applyAlignment="1" applyProtection="1">
      <alignment horizontal="center" vertical="center"/>
      <protection locked="0"/>
    </xf>
    <xf numFmtId="0" fontId="54" fillId="0" borderId="21" xfId="0" applyFont="1" applyFill="1" applyBorder="1" applyAlignment="1" applyProtection="1">
      <alignment horizontal="center" vertical="center"/>
      <protection locked="0"/>
    </xf>
    <xf numFmtId="0" fontId="17" fillId="0" borderId="0" xfId="0" applyNumberFormat="1" applyFont="1" applyFill="1" applyBorder="1" applyAlignment="1" applyProtection="1">
      <alignment horizontal="right" vertical="center"/>
    </xf>
    <xf numFmtId="0" fontId="63" fillId="0" borderId="0" xfId="0" applyNumberFormat="1" applyFont="1" applyFill="1" applyBorder="1" applyAlignment="1" applyProtection="1">
      <alignment vertical="center"/>
    </xf>
    <xf numFmtId="0" fontId="58" fillId="0" borderId="0" xfId="0" applyNumberFormat="1" applyFont="1" applyFill="1" applyBorder="1" applyAlignment="1" applyProtection="1">
      <alignment vertical="center"/>
    </xf>
    <xf numFmtId="164" fontId="14" fillId="0" borderId="0" xfId="0" applyNumberFormat="1" applyFont="1" applyFill="1" applyBorder="1" applyAlignment="1" applyProtection="1">
      <alignment vertical="center"/>
    </xf>
    <xf numFmtId="0" fontId="44" fillId="0" borderId="0" xfId="0" applyNumberFormat="1" applyFont="1" applyAlignment="1" applyProtection="1">
      <alignment vertical="center"/>
    </xf>
    <xf numFmtId="0" fontId="46" fillId="0" borderId="0" xfId="0" applyNumberFormat="1" applyFont="1" applyAlignment="1" applyProtection="1">
      <alignment vertical="center"/>
    </xf>
    <xf numFmtId="0" fontId="48" fillId="6" borderId="0" xfId="0" applyFont="1" applyFill="1" applyBorder="1" applyAlignment="1" applyProtection="1">
      <alignment vertical="center"/>
    </xf>
    <xf numFmtId="0" fontId="2" fillId="0" borderId="0" xfId="0" applyFont="1"/>
    <xf numFmtId="0" fontId="2" fillId="0" borderId="0" xfId="0" applyFont="1" applyAlignment="1">
      <alignment horizontal="center"/>
    </xf>
    <xf numFmtId="0" fontId="2" fillId="0" borderId="0" xfId="0" applyFont="1" applyAlignment="1">
      <alignment horizontal="center" vertical="center" wrapText="1"/>
    </xf>
    <xf numFmtId="0" fontId="2" fillId="0" borderId="0" xfId="0" applyFont="1" applyAlignment="1">
      <alignment horizontal="left" vertical="center" wrapText="1"/>
    </xf>
    <xf numFmtId="0" fontId="14" fillId="0" borderId="0" xfId="0" applyFont="1" applyAlignment="1">
      <alignment vertical="center" wrapText="1"/>
    </xf>
    <xf numFmtId="0" fontId="60" fillId="6" borderId="0" xfId="0" applyFont="1" applyFill="1"/>
    <xf numFmtId="0" fontId="2" fillId="6" borderId="0" xfId="0" applyFont="1" applyFill="1"/>
    <xf numFmtId="0" fontId="43" fillId="6" borderId="0" xfId="0" applyFont="1" applyFill="1"/>
    <xf numFmtId="0" fontId="59" fillId="6" borderId="0" xfId="0" applyFont="1" applyFill="1"/>
    <xf numFmtId="164" fontId="43" fillId="6" borderId="0" xfId="0" applyNumberFormat="1" applyFont="1" applyFill="1" applyAlignment="1">
      <alignment horizontal="center"/>
    </xf>
    <xf numFmtId="0" fontId="14" fillId="6" borderId="0" xfId="0" applyFont="1" applyFill="1" applyAlignment="1">
      <alignment horizontal="center"/>
    </xf>
    <xf numFmtId="164" fontId="43" fillId="6" borderId="0" xfId="0" applyNumberFormat="1" applyFont="1" applyFill="1" applyAlignment="1">
      <alignment horizontal="right"/>
    </xf>
    <xf numFmtId="0" fontId="2" fillId="0" borderId="2" xfId="0" applyFont="1" applyBorder="1"/>
    <xf numFmtId="0" fontId="2" fillId="0" borderId="2" xfId="0" applyFont="1" applyBorder="1" applyAlignment="1">
      <alignment horizontal="center"/>
    </xf>
    <xf numFmtId="0" fontId="2" fillId="6" borderId="0" xfId="0" applyFont="1" applyFill="1" applyProtection="1"/>
    <xf numFmtId="0" fontId="13" fillId="6" borderId="0" xfId="0" applyFont="1" applyFill="1" applyAlignment="1">
      <alignment horizontal="left"/>
    </xf>
    <xf numFmtId="0" fontId="67" fillId="0" borderId="0" xfId="0" applyNumberFormat="1" applyFont="1" applyFill="1" applyBorder="1" applyAlignment="1" applyProtection="1">
      <alignment vertical="center"/>
    </xf>
    <xf numFmtId="0" fontId="41" fillId="6" borderId="2" xfId="0" applyFont="1" applyFill="1" applyBorder="1" applyAlignment="1" applyProtection="1">
      <alignment horizontal="center" vertical="center"/>
    </xf>
    <xf numFmtId="0" fontId="40" fillId="6" borderId="22" xfId="0" applyFont="1" applyFill="1" applyBorder="1" applyAlignment="1" applyProtection="1">
      <alignment horizontal="left" vertical="center"/>
    </xf>
    <xf numFmtId="164" fontId="40" fillId="2" borderId="1" xfId="0" applyNumberFormat="1" applyFont="1" applyFill="1" applyBorder="1" applyAlignment="1" applyProtection="1">
      <alignment horizontal="center" vertical="center"/>
      <protection locked="0"/>
    </xf>
    <xf numFmtId="164" fontId="40" fillId="2" borderId="0" xfId="0" applyNumberFormat="1" applyFont="1" applyFill="1" applyBorder="1" applyAlignment="1" applyProtection="1">
      <alignment horizontal="center" vertical="center"/>
      <protection locked="0"/>
    </xf>
    <xf numFmtId="164" fontId="40" fillId="2" borderId="3" xfId="0" applyNumberFormat="1" applyFont="1" applyFill="1" applyBorder="1" applyAlignment="1" applyProtection="1">
      <alignment horizontal="center" vertical="center"/>
      <protection locked="0"/>
    </xf>
    <xf numFmtId="0" fontId="40" fillId="2" borderId="23" xfId="0" applyFont="1" applyFill="1" applyBorder="1" applyAlignment="1" applyProtection="1">
      <alignment horizontal="left" vertical="center"/>
      <protection locked="0"/>
    </xf>
    <xf numFmtId="0" fontId="40" fillId="2" borderId="12" xfId="0" applyFont="1" applyFill="1" applyBorder="1" applyAlignment="1" applyProtection="1">
      <alignment horizontal="center" vertical="center"/>
      <protection locked="0"/>
    </xf>
    <xf numFmtId="0" fontId="40" fillId="2" borderId="24" xfId="0" applyFont="1" applyFill="1" applyBorder="1" applyAlignment="1" applyProtection="1">
      <alignment horizontal="left" vertical="center"/>
      <protection locked="0"/>
    </xf>
    <xf numFmtId="0" fontId="40" fillId="2" borderId="14" xfId="0" applyFont="1" applyFill="1" applyBorder="1" applyAlignment="1" applyProtection="1">
      <alignment horizontal="center" vertical="center"/>
      <protection locked="0"/>
    </xf>
    <xf numFmtId="0" fontId="40" fillId="2" borderId="25" xfId="0" applyFont="1" applyFill="1" applyBorder="1" applyAlignment="1" applyProtection="1">
      <alignment horizontal="left" vertical="center"/>
      <protection locked="0"/>
    </xf>
    <xf numFmtId="0" fontId="40" fillId="2" borderId="26" xfId="0" applyFont="1" applyFill="1" applyBorder="1" applyAlignment="1" applyProtection="1">
      <alignment horizontal="center" vertical="center"/>
      <protection locked="0"/>
    </xf>
    <xf numFmtId="0" fontId="40" fillId="2" borderId="27" xfId="0" applyFont="1" applyFill="1" applyBorder="1" applyAlignment="1" applyProtection="1">
      <alignment horizontal="center" vertical="center"/>
    </xf>
    <xf numFmtId="0" fontId="40" fillId="2" borderId="28" xfId="0" applyFont="1" applyFill="1" applyBorder="1" applyAlignment="1" applyProtection="1">
      <alignment horizontal="center" vertical="center"/>
    </xf>
    <xf numFmtId="0" fontId="40" fillId="2" borderId="18" xfId="0" applyFont="1" applyFill="1" applyBorder="1" applyAlignment="1" applyProtection="1">
      <alignment horizontal="center" vertical="center"/>
      <protection locked="0"/>
    </xf>
    <xf numFmtId="0" fontId="40" fillId="2" borderId="27" xfId="0" applyFont="1" applyFill="1" applyBorder="1" applyAlignment="1" applyProtection="1">
      <alignment horizontal="center" vertical="center"/>
      <protection locked="0"/>
    </xf>
    <xf numFmtId="0" fontId="40" fillId="2" borderId="28" xfId="0" applyFont="1" applyFill="1" applyBorder="1" applyAlignment="1" applyProtection="1">
      <alignment horizontal="center" vertical="center"/>
      <protection locked="0"/>
    </xf>
    <xf numFmtId="165" fontId="40" fillId="2" borderId="4" xfId="0" applyNumberFormat="1" applyFont="1" applyFill="1" applyBorder="1" applyAlignment="1" applyProtection="1">
      <alignment horizontal="center" vertical="center"/>
      <protection locked="0"/>
    </xf>
    <xf numFmtId="0" fontId="13" fillId="2" borderId="4" xfId="0" applyFont="1" applyFill="1" applyBorder="1" applyAlignment="1" applyProtection="1">
      <alignment horizontal="center" vertical="center"/>
      <protection locked="0"/>
    </xf>
    <xf numFmtId="0" fontId="68" fillId="0" borderId="0" xfId="0" applyFont="1" applyAlignment="1">
      <alignment horizontal="center" vertical="center"/>
    </xf>
    <xf numFmtId="0" fontId="68" fillId="0" borderId="0" xfId="0" applyFont="1" applyAlignment="1">
      <alignment horizontal="center"/>
    </xf>
    <xf numFmtId="0" fontId="68" fillId="0" borderId="2" xfId="0" applyFont="1" applyBorder="1" applyAlignment="1">
      <alignment horizontal="center"/>
    </xf>
    <xf numFmtId="0" fontId="68" fillId="0" borderId="2" xfId="0" applyFont="1" applyBorder="1" applyAlignment="1">
      <alignment horizontal="center" vertical="center"/>
    </xf>
    <xf numFmtId="0" fontId="69" fillId="6" borderId="0" xfId="0" applyFont="1" applyFill="1"/>
    <xf numFmtId="0" fontId="72" fillId="6" borderId="0" xfId="0" applyFont="1" applyFill="1" applyAlignment="1">
      <alignment vertical="center"/>
    </xf>
    <xf numFmtId="0" fontId="69" fillId="6" borderId="0" xfId="0" applyFont="1" applyFill="1" applyAlignment="1">
      <alignment vertical="center"/>
    </xf>
    <xf numFmtId="0" fontId="69" fillId="6" borderId="0" xfId="0" applyFont="1" applyFill="1" applyAlignment="1">
      <alignment vertical="top"/>
    </xf>
    <xf numFmtId="0" fontId="69" fillId="0" borderId="0" xfId="0" applyFont="1"/>
    <xf numFmtId="0" fontId="69" fillId="6" borderId="0" xfId="0" applyFont="1" applyFill="1" applyAlignment="1"/>
    <xf numFmtId="0" fontId="73" fillId="6" borderId="0" xfId="0" applyFont="1" applyFill="1" applyAlignment="1">
      <alignment vertical="center"/>
    </xf>
    <xf numFmtId="0" fontId="69" fillId="6" borderId="0" xfId="0" applyFont="1" applyFill="1" applyBorder="1" applyAlignment="1"/>
    <xf numFmtId="0" fontId="74" fillId="6" borderId="0" xfId="0" applyFont="1" applyFill="1" applyBorder="1" applyAlignment="1">
      <alignment vertical="center"/>
    </xf>
    <xf numFmtId="0" fontId="69" fillId="6" borderId="0" xfId="0" applyFont="1" applyFill="1" applyBorder="1"/>
    <xf numFmtId="0" fontId="2" fillId="0" borderId="0" xfId="0" applyFont="1" applyAlignment="1">
      <alignment horizontal="center" vertical="center"/>
    </xf>
    <xf numFmtId="0" fontId="2" fillId="0" borderId="0" xfId="0" applyFont="1" applyAlignment="1">
      <alignment vertical="center"/>
    </xf>
    <xf numFmtId="0" fontId="13" fillId="3" borderId="0" xfId="0" applyFont="1" applyFill="1" applyAlignment="1" applyProtection="1">
      <alignment vertical="center"/>
    </xf>
    <xf numFmtId="0" fontId="13" fillId="3" borderId="0" xfId="0" applyFont="1" applyFill="1" applyAlignment="1" applyProtection="1">
      <alignment horizontal="left" vertical="center"/>
    </xf>
    <xf numFmtId="0" fontId="13" fillId="3" borderId="0" xfId="0" applyFont="1" applyFill="1" applyBorder="1" applyAlignment="1" applyProtection="1">
      <alignment vertical="center"/>
    </xf>
    <xf numFmtId="0" fontId="45" fillId="6" borderId="0" xfId="0" applyFont="1" applyFill="1" applyAlignment="1" applyProtection="1">
      <alignment horizontal="center" vertical="center"/>
      <protection locked="0"/>
    </xf>
    <xf numFmtId="166" fontId="5" fillId="2" borderId="0" xfId="0" applyNumberFormat="1" applyFont="1" applyFill="1" applyBorder="1" applyAlignment="1" applyProtection="1">
      <alignment horizontal="left" vertical="center"/>
    </xf>
    <xf numFmtId="0" fontId="13" fillId="6" borderId="0" xfId="0" applyFont="1" applyFill="1" applyAlignment="1" applyProtection="1">
      <alignment vertical="center" wrapText="1"/>
    </xf>
    <xf numFmtId="0" fontId="56" fillId="6" borderId="0" xfId="0" applyFont="1" applyFill="1" applyAlignment="1" applyProtection="1">
      <alignment vertical="center" wrapText="1"/>
    </xf>
    <xf numFmtId="0" fontId="45" fillId="6" borderId="0" xfId="0" applyFont="1" applyFill="1" applyBorder="1" applyAlignment="1" applyProtection="1">
      <alignment vertical="center" wrapText="1"/>
    </xf>
    <xf numFmtId="0" fontId="31" fillId="0" borderId="0" xfId="0" applyNumberFormat="1" applyFont="1" applyFill="1" applyBorder="1" applyAlignment="1" applyProtection="1">
      <alignment horizontal="center" vertical="center"/>
      <protection hidden="1"/>
    </xf>
    <xf numFmtId="0" fontId="19" fillId="0" borderId="0" xfId="0" applyNumberFormat="1" applyFont="1" applyFill="1" applyBorder="1" applyAlignment="1" applyProtection="1">
      <alignment horizontal="center" vertical="center"/>
      <protection hidden="1"/>
    </xf>
    <xf numFmtId="0" fontId="52" fillId="0" borderId="0" xfId="0" applyNumberFormat="1" applyFont="1" applyFill="1" applyBorder="1" applyAlignment="1" applyProtection="1">
      <alignment horizontal="center" vertical="center"/>
      <protection hidden="1"/>
    </xf>
    <xf numFmtId="0" fontId="20" fillId="0" borderId="0" xfId="0" applyNumberFormat="1" applyFont="1" applyAlignment="1" applyProtection="1">
      <alignment vertical="center"/>
      <protection hidden="1"/>
    </xf>
    <xf numFmtId="0" fontId="20" fillId="0" borderId="0" xfId="0" applyNumberFormat="1" applyFont="1" applyAlignment="1" applyProtection="1">
      <alignment horizontal="center" vertical="center"/>
      <protection hidden="1"/>
    </xf>
    <xf numFmtId="0" fontId="2" fillId="0" borderId="0" xfId="0" applyNumberFormat="1" applyFont="1" applyFill="1" applyBorder="1" applyAlignment="1" applyProtection="1">
      <alignment horizontal="left"/>
      <protection hidden="1"/>
    </xf>
    <xf numFmtId="0" fontId="4" fillId="0" borderId="0" xfId="0" applyNumberFormat="1" applyFont="1" applyFill="1" applyBorder="1" applyAlignment="1" applyProtection="1">
      <alignment horizontal="center"/>
      <protection hidden="1"/>
    </xf>
    <xf numFmtId="0" fontId="2" fillId="0" borderId="0" xfId="0" applyNumberFormat="1" applyFont="1" applyFill="1" applyBorder="1" applyProtection="1">
      <protection hidden="1"/>
    </xf>
    <xf numFmtId="0" fontId="2" fillId="0" borderId="0" xfId="0" applyNumberFormat="1" applyFont="1" applyFill="1" applyBorder="1" applyAlignment="1" applyProtection="1">
      <alignment horizontal="center"/>
      <protection hidden="1"/>
    </xf>
    <xf numFmtId="0" fontId="33" fillId="0" borderId="0" xfId="0" applyNumberFormat="1" applyFont="1" applyFill="1" applyBorder="1" applyAlignment="1" applyProtection="1">
      <alignment vertical="center"/>
      <protection hidden="1"/>
    </xf>
    <xf numFmtId="0" fontId="32" fillId="0" borderId="0" xfId="0" applyNumberFormat="1" applyFont="1" applyFill="1" applyBorder="1" applyAlignment="1" applyProtection="1">
      <alignment vertical="center"/>
      <protection hidden="1"/>
    </xf>
    <xf numFmtId="0" fontId="2" fillId="0" borderId="0" xfId="0" applyNumberFormat="1" applyFont="1" applyProtection="1">
      <protection hidden="1"/>
    </xf>
    <xf numFmtId="0" fontId="3" fillId="0" borderId="0" xfId="0" applyNumberFormat="1" applyFont="1" applyAlignment="1" applyProtection="1">
      <alignment horizontal="center"/>
      <protection hidden="1"/>
    </xf>
    <xf numFmtId="0" fontId="5" fillId="2" borderId="0" xfId="0" applyNumberFormat="1" applyFont="1" applyFill="1" applyBorder="1" applyAlignment="1" applyProtection="1">
      <alignment horizontal="left" vertical="center"/>
      <protection hidden="1"/>
    </xf>
    <xf numFmtId="0" fontId="17" fillId="5" borderId="0" xfId="0" applyNumberFormat="1" applyFont="1" applyFill="1" applyBorder="1" applyAlignment="1" applyProtection="1">
      <alignment horizontal="center" vertical="center"/>
      <protection locked="0" hidden="1"/>
    </xf>
    <xf numFmtId="0" fontId="17" fillId="0" borderId="0" xfId="0" applyNumberFormat="1" applyFont="1" applyFill="1" applyBorder="1" applyAlignment="1" applyProtection="1">
      <alignment horizontal="center" vertical="center"/>
      <protection hidden="1"/>
    </xf>
    <xf numFmtId="0" fontId="2" fillId="0" borderId="0" xfId="0" applyNumberFormat="1" applyFont="1" applyFill="1" applyBorder="1" applyAlignment="1" applyProtection="1">
      <alignment vertical="center"/>
      <protection hidden="1"/>
    </xf>
    <xf numFmtId="0" fontId="2" fillId="0" borderId="0" xfId="0" applyNumberFormat="1" applyFont="1" applyFill="1" applyBorder="1" applyAlignment="1" applyProtection="1">
      <alignment horizontal="center" vertical="center"/>
      <protection hidden="1"/>
    </xf>
    <xf numFmtId="0" fontId="2" fillId="0" borderId="0" xfId="0" applyNumberFormat="1" applyFont="1" applyAlignment="1" applyProtection="1">
      <alignment vertical="center"/>
      <protection hidden="1"/>
    </xf>
    <xf numFmtId="0" fontId="17" fillId="0" borderId="0" xfId="0" applyNumberFormat="1" applyFont="1" applyFill="1" applyBorder="1" applyAlignment="1" applyProtection="1">
      <alignment horizontal="right" vertical="center"/>
      <protection hidden="1"/>
    </xf>
    <xf numFmtId="20" fontId="17" fillId="0" borderId="0" xfId="0" applyNumberFormat="1" applyFont="1" applyFill="1" applyBorder="1" applyAlignment="1" applyProtection="1">
      <alignment horizontal="center" vertical="center"/>
      <protection hidden="1"/>
    </xf>
    <xf numFmtId="20" fontId="30" fillId="0" borderId="0" xfId="0" applyNumberFormat="1" applyFont="1" applyFill="1" applyBorder="1" applyAlignment="1" applyProtection="1">
      <alignment horizontal="center" vertical="center"/>
      <protection hidden="1"/>
    </xf>
    <xf numFmtId="0" fontId="6" fillId="0" borderId="0" xfId="0" applyNumberFormat="1" applyFont="1" applyFill="1" applyBorder="1" applyAlignment="1" applyProtection="1">
      <alignment horizontal="center" vertical="center"/>
      <protection hidden="1"/>
    </xf>
    <xf numFmtId="0" fontId="5" fillId="0" borderId="0" xfId="0" applyNumberFormat="1" applyFont="1" applyFill="1" applyBorder="1" applyAlignment="1" applyProtection="1">
      <alignment horizontal="left" vertical="center"/>
      <protection hidden="1"/>
    </xf>
    <xf numFmtId="0" fontId="7" fillId="0" borderId="0" xfId="0" applyNumberFormat="1" applyFont="1" applyFill="1" applyBorder="1" applyAlignment="1" applyProtection="1">
      <alignment horizontal="right" vertical="center"/>
      <protection hidden="1"/>
    </xf>
    <xf numFmtId="0" fontId="2" fillId="0" borderId="0" xfId="0" applyNumberFormat="1" applyFont="1" applyFill="1" applyBorder="1" applyAlignment="1" applyProtection="1">
      <alignment horizontal="left" vertical="center"/>
      <protection hidden="1"/>
    </xf>
    <xf numFmtId="0" fontId="4" fillId="0" borderId="0" xfId="0" applyNumberFormat="1" applyFont="1" applyFill="1" applyBorder="1" applyAlignment="1" applyProtection="1">
      <alignment horizontal="center" vertical="center"/>
      <protection hidden="1"/>
    </xf>
    <xf numFmtId="0" fontId="3" fillId="0" borderId="0" xfId="0" applyNumberFormat="1" applyFont="1" applyFill="1" applyBorder="1" applyAlignment="1" applyProtection="1">
      <alignment horizontal="center" vertical="center"/>
      <protection hidden="1"/>
    </xf>
    <xf numFmtId="0" fontId="24" fillId="0" borderId="0" xfId="0" applyNumberFormat="1" applyFont="1" applyFill="1" applyBorder="1" applyAlignment="1" applyProtection="1">
      <alignment vertical="center"/>
      <protection hidden="1"/>
    </xf>
    <xf numFmtId="0" fontId="27" fillId="0" borderId="0" xfId="0" applyNumberFormat="1" applyFont="1" applyFill="1" applyBorder="1" applyAlignment="1" applyProtection="1">
      <alignment vertical="center"/>
      <protection hidden="1"/>
    </xf>
    <xf numFmtId="0" fontId="0" fillId="0" borderId="0" xfId="0" applyFill="1" applyBorder="1" applyProtection="1">
      <protection hidden="1"/>
    </xf>
    <xf numFmtId="0" fontId="2" fillId="0" borderId="0" xfId="0" applyNumberFormat="1" applyFont="1" applyBorder="1" applyAlignment="1" applyProtection="1">
      <alignment vertical="center"/>
      <protection hidden="1"/>
    </xf>
    <xf numFmtId="0" fontId="4" fillId="0" borderId="0" xfId="0" applyFont="1" applyFill="1" applyBorder="1" applyAlignment="1" applyProtection="1">
      <alignment vertical="center"/>
      <protection hidden="1"/>
    </xf>
    <xf numFmtId="0" fontId="2" fillId="0" borderId="0" xfId="0" applyFont="1" applyFill="1" applyBorder="1" applyAlignment="1" applyProtection="1">
      <alignment horizontal="center" vertical="center"/>
      <protection hidden="1"/>
    </xf>
    <xf numFmtId="0" fontId="15" fillId="0" borderId="0" xfId="0" applyNumberFormat="1" applyFont="1" applyFill="1" applyBorder="1" applyAlignment="1" applyProtection="1">
      <alignment horizontal="right" vertical="center"/>
      <protection hidden="1"/>
    </xf>
    <xf numFmtId="0" fontId="34" fillId="0" borderId="0" xfId="0" applyNumberFormat="1" applyFont="1" applyFill="1" applyBorder="1" applyAlignment="1" applyProtection="1">
      <alignment vertical="center"/>
      <protection hidden="1"/>
    </xf>
    <xf numFmtId="0" fontId="3" fillId="0" borderId="0" xfId="0" applyNumberFormat="1" applyFont="1" applyFill="1" applyBorder="1" applyAlignment="1" applyProtection="1">
      <alignment horizontal="right" vertical="center"/>
      <protection hidden="1"/>
    </xf>
    <xf numFmtId="0" fontId="5" fillId="0" borderId="0" xfId="0" applyNumberFormat="1" applyFont="1" applyFill="1" applyBorder="1" applyAlignment="1" applyProtection="1">
      <alignment vertical="center"/>
      <protection hidden="1"/>
    </xf>
    <xf numFmtId="20" fontId="22" fillId="0" borderId="0" xfId="0" applyNumberFormat="1" applyFont="1" applyFill="1" applyBorder="1" applyAlignment="1" applyProtection="1">
      <alignment vertical="center"/>
      <protection hidden="1"/>
    </xf>
    <xf numFmtId="0" fontId="8" fillId="0" borderId="0" xfId="0" applyNumberFormat="1" applyFont="1" applyFill="1" applyBorder="1" applyAlignment="1" applyProtection="1">
      <alignment horizontal="left" vertical="center"/>
      <protection hidden="1"/>
    </xf>
    <xf numFmtId="0" fontId="2" fillId="0" borderId="0" xfId="0" applyNumberFormat="1" applyFont="1" applyFill="1" applyBorder="1" applyAlignment="1" applyProtection="1">
      <alignment horizontal="right" vertical="center"/>
      <protection hidden="1"/>
    </xf>
    <xf numFmtId="0" fontId="39" fillId="0" borderId="0" xfId="0" applyNumberFormat="1" applyFont="1" applyFill="1" applyBorder="1" applyAlignment="1" applyProtection="1">
      <alignment vertical="center"/>
      <protection hidden="1"/>
    </xf>
    <xf numFmtId="164" fontId="17" fillId="0" borderId="0" xfId="0" applyNumberFormat="1" applyFont="1" applyAlignment="1" applyProtection="1">
      <alignment horizontal="center" vertical="center"/>
      <protection hidden="1"/>
    </xf>
    <xf numFmtId="0" fontId="11" fillId="0" borderId="0" xfId="0" applyNumberFormat="1" applyFont="1" applyFill="1" applyBorder="1" applyAlignment="1" applyProtection="1">
      <alignment horizontal="right" vertical="center"/>
      <protection hidden="1"/>
    </xf>
    <xf numFmtId="0" fontId="18" fillId="0" borderId="0" xfId="0" applyNumberFormat="1" applyFont="1" applyFill="1" applyBorder="1" applyAlignment="1" applyProtection="1">
      <alignment horizontal="center" vertical="center"/>
      <protection hidden="1"/>
    </xf>
    <xf numFmtId="0" fontId="48" fillId="2" borderId="0" xfId="0" applyNumberFormat="1" applyFont="1" applyFill="1" applyBorder="1" applyAlignment="1" applyProtection="1">
      <alignment vertical="center"/>
      <protection hidden="1"/>
    </xf>
    <xf numFmtId="0" fontId="17" fillId="0" borderId="0" xfId="0" applyNumberFormat="1" applyFont="1" applyFill="1" applyBorder="1" applyAlignment="1" applyProtection="1">
      <alignment horizontal="center" vertical="center"/>
      <protection locked="0" hidden="1"/>
    </xf>
    <xf numFmtId="0" fontId="17" fillId="2" borderId="0" xfId="0" applyNumberFormat="1" applyFont="1" applyFill="1" applyBorder="1" applyAlignment="1" applyProtection="1">
      <alignment horizontal="center" vertical="center"/>
      <protection hidden="1"/>
    </xf>
    <xf numFmtId="0" fontId="49" fillId="3" borderId="0" xfId="0" applyNumberFormat="1" applyFont="1" applyFill="1" applyBorder="1" applyAlignment="1" applyProtection="1">
      <alignment horizontal="left" vertical="center"/>
      <protection hidden="1"/>
    </xf>
    <xf numFmtId="0" fontId="18" fillId="4" borderId="0" xfId="0" applyNumberFormat="1" applyFont="1" applyFill="1" applyBorder="1" applyAlignment="1" applyProtection="1">
      <alignment horizontal="center" vertical="center"/>
      <protection locked="0" hidden="1"/>
    </xf>
    <xf numFmtId="0" fontId="18" fillId="0" borderId="0" xfId="0" applyNumberFormat="1" applyFont="1" applyFill="1" applyBorder="1" applyAlignment="1" applyProtection="1">
      <alignment horizontal="center" vertical="center"/>
      <protection locked="0" hidden="1"/>
    </xf>
    <xf numFmtId="0" fontId="16" fillId="3" borderId="0" xfId="0" applyNumberFormat="1" applyFont="1" applyFill="1" applyBorder="1" applyAlignment="1" applyProtection="1">
      <alignment horizontal="left" vertical="center"/>
      <protection hidden="1"/>
    </xf>
    <xf numFmtId="20" fontId="29" fillId="0" borderId="0" xfId="0" applyNumberFormat="1" applyFont="1" applyFill="1" applyBorder="1" applyAlignment="1" applyProtection="1">
      <alignment horizontal="center" vertical="center"/>
      <protection hidden="1"/>
    </xf>
    <xf numFmtId="0" fontId="26" fillId="0" borderId="0" xfId="0" applyNumberFormat="1" applyFont="1" applyFill="1" applyBorder="1" applyAlignment="1" applyProtection="1">
      <alignment vertical="center"/>
      <protection hidden="1"/>
    </xf>
    <xf numFmtId="0" fontId="10" fillId="0" borderId="0" xfId="0" applyNumberFormat="1" applyFont="1" applyFill="1" applyBorder="1" applyAlignment="1" applyProtection="1">
      <alignment horizontal="center" vertical="center"/>
      <protection hidden="1"/>
    </xf>
    <xf numFmtId="0" fontId="28" fillId="0" borderId="0" xfId="0" applyNumberFormat="1" applyFont="1" applyFill="1" applyBorder="1" applyAlignment="1" applyProtection="1">
      <alignment horizontal="left" vertical="center"/>
      <protection hidden="1"/>
    </xf>
    <xf numFmtId="0" fontId="16" fillId="0" borderId="0" xfId="0" applyNumberFormat="1" applyFont="1" applyFill="1" applyBorder="1" applyAlignment="1" applyProtection="1">
      <alignment horizontal="left" vertical="center"/>
      <protection hidden="1"/>
    </xf>
    <xf numFmtId="0" fontId="11" fillId="0" borderId="0" xfId="0" applyNumberFormat="1" applyFont="1" applyFill="1" applyBorder="1" applyAlignment="1" applyProtection="1">
      <alignment horizontal="center" vertical="center"/>
      <protection hidden="1"/>
    </xf>
    <xf numFmtId="0" fontId="2" fillId="0" borderId="0" xfId="0" applyNumberFormat="1" applyFont="1" applyAlignment="1" applyProtection="1">
      <alignment vertical="center" wrapText="1"/>
      <protection hidden="1"/>
    </xf>
    <xf numFmtId="0" fontId="23" fillId="0" borderId="0" xfId="0" applyNumberFormat="1" applyFont="1" applyFill="1" applyBorder="1" applyAlignment="1" applyProtection="1">
      <alignment vertical="center"/>
      <protection hidden="1"/>
    </xf>
    <xf numFmtId="0" fontId="9" fillId="0" borderId="0" xfId="0" applyNumberFormat="1" applyFont="1" applyFill="1" applyBorder="1" applyAlignment="1" applyProtection="1">
      <alignment horizontal="center" vertical="center"/>
      <protection hidden="1"/>
    </xf>
    <xf numFmtId="0" fontId="25" fillId="0" borderId="0" xfId="0" applyNumberFormat="1" applyFont="1" applyFill="1" applyBorder="1" applyAlignment="1" applyProtection="1">
      <alignment horizontal="center" vertical="center"/>
      <protection hidden="1"/>
    </xf>
    <xf numFmtId="0" fontId="9" fillId="0" borderId="0" xfId="0" applyNumberFormat="1" applyFont="1" applyFill="1" applyAlignment="1" applyProtection="1">
      <alignment horizontal="center" vertical="center"/>
      <protection hidden="1"/>
    </xf>
    <xf numFmtId="0" fontId="21" fillId="0" borderId="0" xfId="0" applyNumberFormat="1" applyFont="1" applyAlignment="1" applyProtection="1">
      <alignment vertical="center"/>
      <protection hidden="1"/>
    </xf>
    <xf numFmtId="164" fontId="17" fillId="0" borderId="0" xfId="0" applyNumberFormat="1" applyFont="1" applyAlignment="1" applyProtection="1">
      <alignment horizontal="center"/>
      <protection hidden="1"/>
    </xf>
    <xf numFmtId="164" fontId="17" fillId="0" borderId="0" xfId="0" applyNumberFormat="1" applyFont="1" applyAlignment="1" applyProtection="1">
      <alignment vertical="center"/>
      <protection hidden="1"/>
    </xf>
    <xf numFmtId="0" fontId="15" fillId="0" borderId="0" xfId="0" applyNumberFormat="1" applyFont="1" applyFill="1" applyBorder="1" applyAlignment="1" applyProtection="1">
      <alignment vertical="center"/>
      <protection hidden="1"/>
    </xf>
    <xf numFmtId="0" fontId="17" fillId="0" borderId="0" xfId="0" applyNumberFormat="1" applyFont="1" applyAlignment="1" applyProtection="1">
      <alignment vertical="center"/>
      <protection hidden="1"/>
    </xf>
    <xf numFmtId="0" fontId="15" fillId="0" borderId="0" xfId="0" applyNumberFormat="1" applyFont="1" applyAlignment="1" applyProtection="1">
      <alignment vertical="center"/>
      <protection hidden="1"/>
    </xf>
    <xf numFmtId="0" fontId="40" fillId="0" borderId="0" xfId="0" applyNumberFormat="1" applyFont="1" applyFill="1" applyBorder="1" applyAlignment="1" applyProtection="1">
      <alignment horizontal="center" vertical="center"/>
      <protection hidden="1"/>
    </xf>
    <xf numFmtId="0" fontId="3" fillId="0" borderId="0" xfId="0" applyNumberFormat="1" applyFont="1" applyAlignment="1" applyProtection="1">
      <alignment horizontal="center" vertical="center"/>
      <protection hidden="1"/>
    </xf>
    <xf numFmtId="0" fontId="40" fillId="0" borderId="0" xfId="0" applyNumberFormat="1" applyFont="1" applyAlignment="1" applyProtection="1">
      <alignment vertical="center"/>
      <protection hidden="1"/>
    </xf>
    <xf numFmtId="20" fontId="47" fillId="0" borderId="0" xfId="0" applyNumberFormat="1" applyFont="1" applyFill="1" applyBorder="1" applyAlignment="1" applyProtection="1">
      <alignment horizontal="center" vertical="center"/>
      <protection hidden="1"/>
    </xf>
    <xf numFmtId="0" fontId="46" fillId="0" borderId="0" xfId="0" applyNumberFormat="1" applyFont="1" applyFill="1" applyBorder="1" applyAlignment="1" applyProtection="1">
      <alignment vertical="center"/>
      <protection hidden="1"/>
    </xf>
    <xf numFmtId="0" fontId="18" fillId="0" borderId="0" xfId="0" applyNumberFormat="1" applyFont="1" applyFill="1" applyBorder="1" applyAlignment="1" applyProtection="1">
      <alignment vertical="center"/>
      <protection hidden="1"/>
    </xf>
    <xf numFmtId="0" fontId="15" fillId="0" borderId="0" xfId="0" applyNumberFormat="1" applyFont="1" applyFill="1" applyBorder="1" applyAlignment="1" applyProtection="1">
      <alignment horizontal="center" vertical="center"/>
      <protection hidden="1"/>
    </xf>
    <xf numFmtId="0" fontId="18" fillId="0" borderId="0" xfId="0" applyNumberFormat="1" applyFont="1" applyAlignment="1" applyProtection="1">
      <alignment vertical="center"/>
      <protection hidden="1"/>
    </xf>
    <xf numFmtId="20" fontId="10" fillId="0" borderId="0" xfId="0" applyNumberFormat="1" applyFont="1" applyFill="1" applyBorder="1" applyAlignment="1" applyProtection="1">
      <alignment horizontal="center" vertical="center"/>
      <protection hidden="1"/>
    </xf>
    <xf numFmtId="0" fontId="6" fillId="0" borderId="0" xfId="0" applyNumberFormat="1" applyFont="1" applyFill="1" applyBorder="1" applyAlignment="1" applyProtection="1">
      <alignment vertical="center"/>
      <protection hidden="1"/>
    </xf>
    <xf numFmtId="0" fontId="65" fillId="0" borderId="0" xfId="0" applyNumberFormat="1" applyFont="1" applyFill="1" applyBorder="1" applyAlignment="1" applyProtection="1">
      <alignment horizontal="center" vertical="center"/>
      <protection hidden="1"/>
    </xf>
    <xf numFmtId="0" fontId="63" fillId="0" borderId="0" xfId="0" applyNumberFormat="1" applyFont="1" applyFill="1" applyBorder="1" applyAlignment="1" applyProtection="1">
      <alignment vertical="center"/>
      <protection hidden="1"/>
    </xf>
    <xf numFmtId="164" fontId="11" fillId="0" borderId="0" xfId="0" applyNumberFormat="1" applyFont="1" applyAlignment="1" applyProtection="1">
      <alignment horizontal="center" vertical="center"/>
      <protection hidden="1"/>
    </xf>
    <xf numFmtId="0" fontId="44" fillId="0" borderId="0" xfId="0" applyNumberFormat="1" applyFont="1" applyAlignment="1" applyProtection="1">
      <alignment vertical="center"/>
      <protection hidden="1"/>
    </xf>
    <xf numFmtId="0" fontId="46" fillId="0" borderId="0" xfId="0" applyNumberFormat="1" applyFont="1" applyFill="1" applyAlignment="1" applyProtection="1">
      <alignment vertical="center"/>
      <protection hidden="1"/>
    </xf>
    <xf numFmtId="0" fontId="36" fillId="0" borderId="0" xfId="0" applyNumberFormat="1" applyFont="1" applyFill="1" applyBorder="1" applyAlignment="1" applyProtection="1">
      <alignment vertical="center" wrapText="1"/>
      <protection hidden="1"/>
    </xf>
    <xf numFmtId="20" fontId="17" fillId="0" borderId="0" xfId="0" applyNumberFormat="1" applyFont="1" applyFill="1" applyBorder="1" applyAlignment="1" applyProtection="1">
      <alignment vertical="center"/>
      <protection hidden="1"/>
    </xf>
    <xf numFmtId="0" fontId="27" fillId="0" borderId="0" xfId="0" applyNumberFormat="1" applyFont="1" applyFill="1" applyBorder="1" applyAlignment="1" applyProtection="1">
      <alignment vertical="center" wrapText="1"/>
      <protection hidden="1"/>
    </xf>
    <xf numFmtId="0" fontId="35" fillId="0" borderId="0" xfId="0" applyNumberFormat="1" applyFont="1" applyFill="1" applyBorder="1" applyAlignment="1" applyProtection="1">
      <alignment vertical="center" wrapText="1"/>
      <protection hidden="1"/>
    </xf>
    <xf numFmtId="0" fontId="2" fillId="0" borderId="0" xfId="0" applyFont="1" applyBorder="1"/>
    <xf numFmtId="0" fontId="2" fillId="0" borderId="0" xfId="0" applyFont="1" applyBorder="1" applyAlignment="1">
      <alignment horizontal="center" vertical="center"/>
    </xf>
    <xf numFmtId="0" fontId="2" fillId="0" borderId="2" xfId="0" applyFont="1" applyBorder="1" applyAlignment="1">
      <alignment horizontal="center" vertical="center"/>
    </xf>
    <xf numFmtId="14" fontId="14" fillId="0" borderId="0" xfId="0" applyNumberFormat="1" applyFont="1" applyFill="1" applyBorder="1" applyAlignment="1" applyProtection="1">
      <alignment horizontal="center" vertical="center"/>
      <protection hidden="1"/>
    </xf>
    <xf numFmtId="14" fontId="14" fillId="0" borderId="0" xfId="0" applyNumberFormat="1" applyFont="1" applyFill="1" applyBorder="1" applyAlignment="1" applyProtection="1">
      <alignment vertical="center"/>
      <protection hidden="1"/>
    </xf>
    <xf numFmtId="14" fontId="14" fillId="0" borderId="0" xfId="0" applyNumberFormat="1" applyFont="1" applyFill="1" applyBorder="1" applyAlignment="1" applyProtection="1">
      <alignment horizontal="center" vertical="center"/>
    </xf>
    <xf numFmtId="0" fontId="13" fillId="8" borderId="0" xfId="0" applyFont="1" applyFill="1" applyBorder="1" applyAlignment="1" applyProtection="1">
      <alignment vertical="center"/>
    </xf>
    <xf numFmtId="0" fontId="13" fillId="8" borderId="0" xfId="0" applyFont="1" applyFill="1" applyAlignment="1" applyProtection="1">
      <alignment vertical="center"/>
    </xf>
    <xf numFmtId="0" fontId="48" fillId="6" borderId="4" xfId="0" applyFont="1" applyFill="1" applyBorder="1" applyAlignment="1" applyProtection="1">
      <alignment horizontal="left" vertical="center"/>
    </xf>
    <xf numFmtId="0" fontId="56" fillId="6" borderId="4" xfId="0" applyFont="1" applyFill="1" applyBorder="1" applyAlignment="1" applyProtection="1">
      <alignment horizontal="left" vertical="center"/>
    </xf>
    <xf numFmtId="0" fontId="40" fillId="2" borderId="4" xfId="0" applyFont="1" applyFill="1" applyBorder="1" applyAlignment="1" applyProtection="1">
      <alignment horizontal="left" vertical="center"/>
      <protection locked="0"/>
    </xf>
    <xf numFmtId="0" fontId="40" fillId="2" borderId="1" xfId="0" applyFont="1" applyFill="1" applyBorder="1" applyAlignment="1" applyProtection="1">
      <alignment horizontal="left" vertical="center"/>
      <protection locked="0"/>
    </xf>
    <xf numFmtId="14" fontId="40" fillId="2" borderId="4" xfId="0" applyNumberFormat="1" applyFont="1" applyFill="1" applyBorder="1" applyAlignment="1" applyProtection="1">
      <alignment horizontal="center" vertical="center"/>
      <protection locked="0"/>
    </xf>
    <xf numFmtId="0" fontId="61" fillId="6" borderId="1" xfId="0" applyFont="1" applyFill="1" applyBorder="1" applyAlignment="1" applyProtection="1">
      <alignment horizontal="left" vertical="center"/>
      <protection locked="0"/>
    </xf>
    <xf numFmtId="0" fontId="42" fillId="6" borderId="0" xfId="0" applyFont="1" applyFill="1" applyBorder="1" applyAlignment="1" applyProtection="1">
      <alignment horizontal="center" vertical="center" wrapText="1"/>
    </xf>
    <xf numFmtId="0" fontId="66" fillId="7" borderId="0" xfId="0" applyFont="1" applyFill="1" applyAlignment="1" applyProtection="1">
      <alignment horizontal="center" vertical="center"/>
    </xf>
    <xf numFmtId="0" fontId="56" fillId="6" borderId="0" xfId="0" applyFont="1" applyFill="1" applyBorder="1" applyAlignment="1" applyProtection="1">
      <alignment horizontal="center" vertical="center" wrapText="1"/>
    </xf>
    <xf numFmtId="0" fontId="56" fillId="6" borderId="0" xfId="0" applyFont="1" applyFill="1" applyBorder="1" applyAlignment="1" applyProtection="1">
      <alignment horizontal="center" vertical="center"/>
    </xf>
    <xf numFmtId="0" fontId="57" fillId="7" borderId="0" xfId="0" applyFont="1" applyFill="1" applyBorder="1" applyAlignment="1" applyProtection="1">
      <alignment horizontal="center" vertical="center"/>
    </xf>
    <xf numFmtId="0" fontId="70" fillId="3" borderId="0" xfId="0" applyFont="1" applyFill="1" applyAlignment="1">
      <alignment horizontal="left" vertical="center"/>
    </xf>
    <xf numFmtId="0" fontId="70" fillId="3" borderId="0" xfId="0" quotePrefix="1" applyFont="1" applyFill="1" applyAlignment="1">
      <alignment horizontal="center" vertical="center"/>
    </xf>
    <xf numFmtId="0" fontId="71" fillId="3" borderId="0" xfId="0" applyFont="1" applyFill="1" applyAlignment="1">
      <alignment horizontal="center" vertical="center"/>
    </xf>
    <xf numFmtId="0" fontId="45" fillId="3" borderId="0" xfId="0" applyFont="1" applyFill="1" applyAlignment="1" applyProtection="1">
      <alignment horizontal="center" vertical="center" wrapText="1"/>
    </xf>
    <xf numFmtId="0" fontId="55" fillId="0" borderId="6" xfId="0" applyFont="1" applyFill="1" applyBorder="1" applyAlignment="1" applyProtection="1">
      <alignment horizontal="center" vertical="center"/>
    </xf>
    <xf numFmtId="0" fontId="55" fillId="0" borderId="0" xfId="0" applyFont="1" applyFill="1" applyBorder="1" applyAlignment="1" applyProtection="1">
      <alignment horizontal="center" vertical="center"/>
    </xf>
    <xf numFmtId="0" fontId="12" fillId="6" borderId="0" xfId="0" applyFont="1" applyFill="1" applyAlignment="1">
      <alignment horizontal="right"/>
    </xf>
    <xf numFmtId="0" fontId="14" fillId="6" borderId="0" xfId="0" applyFont="1" applyFill="1" applyAlignment="1">
      <alignment horizontal="justify" vertical="center" wrapText="1"/>
    </xf>
    <xf numFmtId="0" fontId="58" fillId="0" borderId="0" xfId="0" applyNumberFormat="1" applyFont="1" applyFill="1" applyBorder="1" applyAlignment="1" applyProtection="1">
      <alignment horizontal="center" vertical="center"/>
      <protection hidden="1"/>
    </xf>
    <xf numFmtId="164" fontId="14" fillId="0" borderId="0" xfId="0" applyNumberFormat="1" applyFont="1" applyFill="1" applyBorder="1" applyAlignment="1" applyProtection="1">
      <alignment horizontal="center" vertical="center"/>
      <protection hidden="1"/>
    </xf>
    <xf numFmtId="0" fontId="27" fillId="0" borderId="0" xfId="0" applyNumberFormat="1" applyFont="1" applyFill="1" applyBorder="1" applyAlignment="1" applyProtection="1">
      <alignment horizontal="center" vertical="center" wrapText="1"/>
      <protection hidden="1"/>
    </xf>
    <xf numFmtId="0" fontId="35" fillId="0" borderId="0" xfId="0" applyNumberFormat="1" applyFont="1" applyFill="1" applyBorder="1" applyAlignment="1" applyProtection="1">
      <alignment horizontal="center" vertical="center" wrapText="1"/>
      <protection hidden="1"/>
    </xf>
    <xf numFmtId="0" fontId="63" fillId="0" borderId="0" xfId="0" applyNumberFormat="1" applyFont="1" applyFill="1" applyBorder="1" applyAlignment="1" applyProtection="1">
      <alignment horizontal="right" vertical="center"/>
      <protection hidden="1"/>
    </xf>
    <xf numFmtId="0" fontId="39" fillId="0" borderId="0" xfId="0" applyNumberFormat="1" applyFont="1" applyFill="1" applyBorder="1" applyAlignment="1" applyProtection="1">
      <alignment horizontal="center" vertical="center"/>
      <protection hidden="1"/>
    </xf>
    <xf numFmtId="164" fontId="62" fillId="0" borderId="0" xfId="0" applyNumberFormat="1" applyFont="1" applyAlignment="1" applyProtection="1">
      <alignment horizontal="center" vertical="center"/>
      <protection hidden="1"/>
    </xf>
    <xf numFmtId="0" fontId="36" fillId="0" borderId="0" xfId="0" applyNumberFormat="1" applyFont="1" applyFill="1" applyBorder="1" applyAlignment="1" applyProtection="1">
      <alignment horizontal="center" vertical="center" wrapText="1"/>
      <protection hidden="1"/>
    </xf>
    <xf numFmtId="0" fontId="44" fillId="0" borderId="0" xfId="0" applyNumberFormat="1" applyFont="1" applyAlignment="1" applyProtection="1">
      <alignment horizontal="center" vertical="center"/>
      <protection hidden="1"/>
    </xf>
    <xf numFmtId="0" fontId="46" fillId="0" borderId="0" xfId="0" applyNumberFormat="1" applyFont="1" applyAlignment="1" applyProtection="1">
      <alignment horizontal="center" vertical="center"/>
      <protection hidden="1"/>
    </xf>
    <xf numFmtId="20" fontId="62" fillId="0" borderId="0" xfId="0" applyNumberFormat="1" applyFont="1" applyFill="1" applyBorder="1" applyAlignment="1" applyProtection="1">
      <alignment horizontal="center" vertical="center"/>
      <protection hidden="1"/>
    </xf>
    <xf numFmtId="0" fontId="59" fillId="0" borderId="0" xfId="0" applyNumberFormat="1" applyFont="1" applyFill="1" applyBorder="1" applyAlignment="1" applyProtection="1">
      <alignment horizontal="center" vertical="center" wrapText="1"/>
      <protection hidden="1"/>
    </xf>
    <xf numFmtId="0" fontId="46" fillId="0" borderId="0" xfId="0" applyNumberFormat="1" applyFont="1" applyFill="1" applyBorder="1" applyAlignment="1" applyProtection="1">
      <alignment horizontal="center" vertical="center" wrapText="1"/>
      <protection hidden="1"/>
    </xf>
    <xf numFmtId="0" fontId="61" fillId="0" borderId="0" xfId="0" applyNumberFormat="1" applyFont="1" applyFill="1" applyBorder="1" applyAlignment="1" applyProtection="1">
      <alignment horizontal="center" vertical="center" wrapText="1"/>
      <protection hidden="1"/>
    </xf>
    <xf numFmtId="0" fontId="32" fillId="0" borderId="0" xfId="0" applyNumberFormat="1" applyFont="1" applyFill="1" applyBorder="1" applyAlignment="1" applyProtection="1">
      <alignment horizontal="right" vertical="center"/>
    </xf>
    <xf numFmtId="0" fontId="33" fillId="0" borderId="0" xfId="0" applyNumberFormat="1" applyFont="1" applyFill="1" applyBorder="1" applyAlignment="1" applyProtection="1">
      <alignment horizontal="right" vertical="center"/>
    </xf>
    <xf numFmtId="0" fontId="36" fillId="0" borderId="0" xfId="0" applyNumberFormat="1" applyFont="1" applyFill="1" applyBorder="1" applyAlignment="1" applyProtection="1">
      <alignment horizontal="center" vertical="center" wrapText="1"/>
    </xf>
    <xf numFmtId="20" fontId="62" fillId="0" borderId="0" xfId="0" applyNumberFormat="1" applyFont="1" applyFill="1" applyBorder="1" applyAlignment="1" applyProtection="1">
      <alignment horizontal="center" vertical="center"/>
    </xf>
    <xf numFmtId="0" fontId="27" fillId="0" borderId="0" xfId="0" applyNumberFormat="1" applyFont="1" applyFill="1" applyBorder="1" applyAlignment="1" applyProtection="1">
      <alignment horizontal="center" vertical="center" wrapText="1"/>
    </xf>
    <xf numFmtId="0" fontId="35" fillId="0" borderId="0" xfId="0" applyNumberFormat="1" applyFont="1" applyFill="1" applyBorder="1" applyAlignment="1" applyProtection="1">
      <alignment horizontal="center" vertical="center" wrapText="1"/>
    </xf>
    <xf numFmtId="0" fontId="64" fillId="0" borderId="0" xfId="0" applyNumberFormat="1" applyFont="1" applyFill="1" applyBorder="1" applyAlignment="1" applyProtection="1">
      <alignment horizontal="right" vertical="center"/>
    </xf>
    <xf numFmtId="0" fontId="58" fillId="0" borderId="0" xfId="0" applyNumberFormat="1" applyFont="1" applyFill="1" applyBorder="1" applyAlignment="1" applyProtection="1">
      <alignment horizontal="center" vertical="center"/>
    </xf>
    <xf numFmtId="164" fontId="14" fillId="0" borderId="0" xfId="0" applyNumberFormat="1" applyFont="1" applyFill="1" applyBorder="1" applyAlignment="1" applyProtection="1">
      <alignment horizontal="center" vertical="center"/>
    </xf>
    <xf numFmtId="0" fontId="46" fillId="0" borderId="0" xfId="0" applyNumberFormat="1" applyFont="1" applyAlignment="1" applyProtection="1">
      <alignment horizontal="center" vertical="center"/>
    </xf>
    <xf numFmtId="0" fontId="46" fillId="0" borderId="0" xfId="0" applyNumberFormat="1" applyFont="1" applyAlignment="1" applyProtection="1">
      <alignment horizontal="right" vertical="center"/>
    </xf>
    <xf numFmtId="0" fontId="39" fillId="0" borderId="0" xfId="0" applyNumberFormat="1" applyFont="1" applyFill="1" applyBorder="1" applyAlignment="1" applyProtection="1">
      <alignment horizontal="center" vertical="center"/>
    </xf>
  </cellXfs>
  <cellStyles count="2">
    <cellStyle name="Normal" xfId="0" builtinId="0"/>
    <cellStyle name="Normal 2" xfId="1"/>
  </cellStyles>
  <dxfs count="239">
    <dxf>
      <fill>
        <patternFill>
          <bgColor indexed="54"/>
        </patternFill>
      </fill>
    </dxf>
    <dxf>
      <font>
        <b/>
        <i val="0"/>
        <condense val="0"/>
        <extend val="0"/>
        <color indexed="9"/>
      </font>
      <fill>
        <patternFill>
          <bgColor indexed="62"/>
        </patternFill>
      </fill>
    </dxf>
    <dxf>
      <font>
        <b/>
        <i val="0"/>
        <condense val="0"/>
        <extend val="0"/>
        <color indexed="9"/>
      </font>
      <fill>
        <patternFill>
          <bgColor indexed="16"/>
        </patternFill>
      </fill>
    </dxf>
    <dxf>
      <font>
        <b/>
        <i val="0"/>
        <condense val="0"/>
        <extend val="0"/>
        <color indexed="16"/>
      </font>
    </dxf>
    <dxf>
      <font>
        <condense val="0"/>
        <extend val="0"/>
        <color indexed="9"/>
      </font>
    </dxf>
    <dxf>
      <font>
        <condense val="0"/>
        <extend val="0"/>
        <color indexed="8"/>
      </font>
      <fill>
        <patternFill>
          <bgColor indexed="55"/>
        </patternFill>
      </fill>
    </dxf>
    <dxf>
      <font>
        <strike val="0"/>
        <condense val="0"/>
        <extend val="0"/>
        <color indexed="23"/>
      </font>
    </dxf>
    <dxf>
      <font>
        <b/>
        <i val="0"/>
        <condense val="0"/>
        <extend val="0"/>
        <color indexed="9"/>
      </font>
      <fill>
        <patternFill>
          <bgColor indexed="62"/>
        </patternFill>
      </fill>
    </dxf>
    <dxf>
      <font>
        <b/>
        <i val="0"/>
        <condense val="0"/>
        <extend val="0"/>
        <color indexed="9"/>
      </font>
      <fill>
        <patternFill>
          <bgColor indexed="16"/>
        </patternFill>
      </fill>
    </dxf>
    <dxf>
      <font>
        <b/>
        <i val="0"/>
        <condense val="0"/>
        <extend val="0"/>
        <color indexed="62"/>
      </font>
    </dxf>
    <dxf>
      <font>
        <b/>
        <i val="0"/>
        <condense val="0"/>
        <extend val="0"/>
        <color indexed="16"/>
      </font>
    </dxf>
    <dxf>
      <font>
        <b/>
        <i val="0"/>
        <condense val="0"/>
        <extend val="0"/>
        <color indexed="62"/>
      </font>
    </dxf>
    <dxf>
      <font>
        <b/>
        <i val="0"/>
        <condense val="0"/>
        <extend val="0"/>
        <color indexed="16"/>
      </font>
    </dxf>
    <dxf>
      <font>
        <b/>
        <i val="0"/>
        <condense val="0"/>
        <extend val="0"/>
        <color indexed="8"/>
      </font>
      <fill>
        <patternFill patternType="none">
          <bgColor indexed="65"/>
        </patternFill>
      </fill>
      <border>
        <top style="thin">
          <color indexed="64"/>
        </top>
        <bottom style="thin">
          <color indexed="64"/>
        </bottom>
      </border>
    </dxf>
    <dxf>
      <font>
        <b/>
        <i val="0"/>
        <condense val="0"/>
        <extend val="0"/>
        <color indexed="18"/>
      </font>
      <fill>
        <patternFill patternType="none">
          <bgColor indexed="65"/>
        </patternFill>
      </fill>
      <border>
        <top style="thin">
          <color indexed="18"/>
        </top>
        <bottom style="thin">
          <color indexed="18"/>
        </bottom>
      </border>
    </dxf>
    <dxf>
      <font>
        <b/>
        <i val="0"/>
        <strike val="0"/>
        <condense val="0"/>
        <extend val="0"/>
        <color indexed="16"/>
      </font>
    </dxf>
    <dxf>
      <font>
        <b/>
        <i val="0"/>
        <condense val="0"/>
        <extend val="0"/>
        <color indexed="18"/>
      </font>
      <fill>
        <patternFill patternType="none">
          <bgColor indexed="65"/>
        </patternFill>
      </fill>
      <border>
        <top style="thin">
          <color indexed="18"/>
        </top>
        <bottom style="thin">
          <color indexed="18"/>
        </bottom>
      </border>
    </dxf>
    <dxf>
      <font>
        <b/>
        <i val="0"/>
        <condense val="0"/>
        <extend val="0"/>
        <color indexed="18"/>
      </font>
      <fill>
        <patternFill patternType="none">
          <bgColor indexed="65"/>
        </patternFill>
      </fill>
      <border>
        <top style="thin">
          <color indexed="18"/>
        </top>
        <bottom style="thin">
          <color indexed="18"/>
        </bottom>
      </border>
    </dxf>
    <dxf>
      <font>
        <b/>
        <i val="0"/>
        <condense val="0"/>
        <extend val="0"/>
        <color indexed="18"/>
      </font>
      <fill>
        <patternFill patternType="none">
          <bgColor indexed="65"/>
        </patternFill>
      </fill>
      <border>
        <top style="thin">
          <color indexed="18"/>
        </top>
        <bottom style="thin">
          <color indexed="18"/>
        </bottom>
      </border>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i val="0"/>
        <condense val="0"/>
        <extend val="0"/>
        <color indexed="8"/>
      </font>
      <fill>
        <patternFill patternType="none">
          <bgColor indexed="65"/>
        </patternFill>
      </fill>
      <border>
        <top style="thin">
          <color indexed="64"/>
        </top>
        <bottom style="thin">
          <color indexed="64"/>
        </bottom>
      </border>
    </dxf>
    <dxf>
      <font>
        <b val="0"/>
        <i val="0"/>
        <condense val="0"/>
        <extend val="0"/>
        <color indexed="23"/>
      </font>
    </dxf>
    <dxf>
      <fill>
        <patternFill>
          <bgColor indexed="54"/>
        </patternFill>
      </fill>
    </dxf>
    <dxf>
      <font>
        <b/>
        <i val="0"/>
        <condense val="0"/>
        <extend val="0"/>
        <color indexed="9"/>
      </font>
      <fill>
        <patternFill>
          <bgColor indexed="62"/>
        </patternFill>
      </fill>
    </dxf>
    <dxf>
      <font>
        <b/>
        <i val="0"/>
        <condense val="0"/>
        <extend val="0"/>
        <color indexed="9"/>
      </font>
      <fill>
        <patternFill>
          <bgColor indexed="16"/>
        </patternFill>
      </fill>
    </dxf>
    <dxf>
      <font>
        <b/>
        <i val="0"/>
        <condense val="0"/>
        <extend val="0"/>
        <color indexed="16"/>
      </font>
    </dxf>
    <dxf>
      <font>
        <condense val="0"/>
        <extend val="0"/>
        <color indexed="9"/>
      </font>
    </dxf>
    <dxf>
      <font>
        <condense val="0"/>
        <extend val="0"/>
        <color indexed="8"/>
      </font>
      <fill>
        <patternFill>
          <bgColor indexed="55"/>
        </patternFill>
      </fill>
    </dxf>
    <dxf>
      <font>
        <strike val="0"/>
        <condense val="0"/>
        <extend val="0"/>
        <color indexed="23"/>
      </font>
    </dxf>
    <dxf>
      <font>
        <b/>
        <i val="0"/>
        <condense val="0"/>
        <extend val="0"/>
        <color indexed="9"/>
      </font>
      <fill>
        <patternFill>
          <bgColor indexed="62"/>
        </patternFill>
      </fill>
    </dxf>
    <dxf>
      <font>
        <b/>
        <i val="0"/>
        <condense val="0"/>
        <extend val="0"/>
        <color indexed="9"/>
      </font>
      <fill>
        <patternFill>
          <bgColor indexed="16"/>
        </patternFill>
      </fill>
    </dxf>
    <dxf>
      <font>
        <b/>
        <i val="0"/>
        <condense val="0"/>
        <extend val="0"/>
        <color indexed="62"/>
      </font>
    </dxf>
    <dxf>
      <font>
        <b/>
        <i val="0"/>
        <condense val="0"/>
        <extend val="0"/>
        <color indexed="16"/>
      </font>
    </dxf>
    <dxf>
      <font>
        <b/>
        <i val="0"/>
        <condense val="0"/>
        <extend val="0"/>
        <color indexed="62"/>
      </font>
    </dxf>
    <dxf>
      <font>
        <b/>
        <i val="0"/>
        <condense val="0"/>
        <extend val="0"/>
        <color indexed="16"/>
      </font>
    </dxf>
    <dxf>
      <font>
        <b/>
        <i val="0"/>
        <condense val="0"/>
        <extend val="0"/>
        <color indexed="8"/>
      </font>
      <fill>
        <patternFill patternType="none">
          <bgColor indexed="65"/>
        </patternFill>
      </fill>
      <border>
        <top style="thin">
          <color indexed="64"/>
        </top>
        <bottom style="thin">
          <color indexed="64"/>
        </bottom>
      </border>
    </dxf>
    <dxf>
      <font>
        <b/>
        <i val="0"/>
        <condense val="0"/>
        <extend val="0"/>
        <color indexed="18"/>
      </font>
      <fill>
        <patternFill patternType="none">
          <bgColor indexed="65"/>
        </patternFill>
      </fill>
      <border>
        <top style="thin">
          <color indexed="18"/>
        </top>
        <bottom style="thin">
          <color indexed="18"/>
        </bottom>
      </border>
    </dxf>
    <dxf>
      <font>
        <b/>
        <i val="0"/>
        <strike val="0"/>
        <condense val="0"/>
        <extend val="0"/>
        <color indexed="16"/>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i val="0"/>
        <condense val="0"/>
        <extend val="0"/>
        <color indexed="18"/>
      </font>
      <fill>
        <patternFill patternType="none">
          <bgColor indexed="65"/>
        </patternFill>
      </fill>
      <border>
        <top style="thin">
          <color indexed="18"/>
        </top>
        <bottom style="thin">
          <color indexed="18"/>
        </bottom>
      </border>
    </dxf>
    <dxf>
      <font>
        <b/>
        <i val="0"/>
        <condense val="0"/>
        <extend val="0"/>
        <color indexed="18"/>
      </font>
      <fill>
        <patternFill patternType="none">
          <bgColor indexed="65"/>
        </patternFill>
      </fill>
      <border>
        <top style="thin">
          <color indexed="18"/>
        </top>
        <bottom style="thin">
          <color indexed="18"/>
        </bottom>
      </border>
    </dxf>
    <dxf>
      <font>
        <b/>
        <i val="0"/>
        <condense val="0"/>
        <extend val="0"/>
        <color indexed="8"/>
      </font>
      <fill>
        <patternFill patternType="none">
          <bgColor indexed="65"/>
        </patternFill>
      </fill>
      <border>
        <top style="thin">
          <color indexed="64"/>
        </top>
        <bottom style="thin">
          <color indexed="64"/>
        </bottom>
      </border>
    </dxf>
    <dxf>
      <font>
        <b/>
        <i val="0"/>
        <condense val="0"/>
        <extend val="0"/>
        <color indexed="8"/>
      </font>
      <fill>
        <patternFill patternType="none">
          <bgColor indexed="65"/>
        </patternFill>
      </fill>
      <border>
        <top style="thin">
          <color indexed="64"/>
        </top>
        <bottom style="thin">
          <color indexed="64"/>
        </bottom>
      </border>
    </dxf>
    <dxf>
      <font>
        <b/>
        <i val="0"/>
        <condense val="0"/>
        <extend val="0"/>
        <color indexed="18"/>
      </font>
      <fill>
        <patternFill patternType="none">
          <bgColor indexed="65"/>
        </patternFill>
      </fill>
      <border>
        <top style="thin">
          <color indexed="18"/>
        </top>
        <bottom style="thin">
          <color indexed="18"/>
        </bottom>
      </border>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i val="0"/>
        <condense val="0"/>
        <extend val="0"/>
        <color indexed="8"/>
      </font>
      <fill>
        <patternFill patternType="none">
          <bgColor indexed="65"/>
        </patternFill>
      </fill>
      <border>
        <top style="thin">
          <color indexed="64"/>
        </top>
        <bottom style="thin">
          <color indexed="64"/>
        </bottom>
      </border>
    </dxf>
    <dxf>
      <fill>
        <patternFill>
          <bgColor indexed="54"/>
        </patternFill>
      </fill>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i val="0"/>
        <condense val="0"/>
        <extend val="0"/>
        <color indexed="18"/>
      </font>
      <fill>
        <patternFill patternType="none">
          <bgColor indexed="65"/>
        </patternFill>
      </fill>
      <border>
        <top style="thin">
          <color indexed="18"/>
        </top>
        <bottom style="thin">
          <color indexed="18"/>
        </bottom>
      </border>
    </dxf>
    <dxf>
      <font>
        <strike val="0"/>
        <condense val="0"/>
        <extend val="0"/>
        <color indexed="23"/>
      </font>
    </dxf>
    <dxf>
      <font>
        <strike val="0"/>
        <condense val="0"/>
        <extend val="0"/>
        <color indexed="18"/>
      </font>
    </dxf>
    <dxf>
      <font>
        <b/>
        <i val="0"/>
        <condense val="0"/>
        <extend val="0"/>
        <color indexed="8"/>
      </font>
      <fill>
        <patternFill patternType="none">
          <bgColor indexed="65"/>
        </patternFill>
      </fill>
      <border>
        <top style="thin">
          <color indexed="64"/>
        </top>
        <bottom style="thin">
          <color indexed="64"/>
        </bottom>
      </border>
    </dxf>
    <dxf>
      <font>
        <b/>
        <i val="0"/>
        <condense val="0"/>
        <extend val="0"/>
        <color indexed="62"/>
      </font>
    </dxf>
    <dxf>
      <font>
        <b/>
        <i val="0"/>
        <condense val="0"/>
        <extend val="0"/>
        <color indexed="16"/>
      </font>
    </dxf>
    <dxf>
      <font>
        <b/>
        <i val="0"/>
        <condense val="0"/>
        <extend val="0"/>
        <color indexed="9"/>
      </font>
      <fill>
        <patternFill>
          <bgColor indexed="62"/>
        </patternFill>
      </fill>
    </dxf>
    <dxf>
      <font>
        <b/>
        <i val="0"/>
        <condense val="0"/>
        <extend val="0"/>
        <color indexed="9"/>
      </font>
      <fill>
        <patternFill>
          <bgColor indexed="16"/>
        </patternFill>
      </fill>
    </dxf>
    <dxf>
      <font>
        <b val="0"/>
        <i val="0"/>
        <condense val="0"/>
        <extend val="0"/>
        <color indexed="23"/>
      </font>
    </dxf>
    <dxf>
      <font>
        <condense val="0"/>
        <extend val="0"/>
        <color indexed="9"/>
      </font>
    </dxf>
    <dxf>
      <font>
        <condense val="0"/>
        <extend val="0"/>
        <color indexed="8"/>
      </font>
      <fill>
        <patternFill>
          <bgColor indexed="55"/>
        </patternFill>
      </fill>
    </dxf>
    <dxf>
      <font>
        <b/>
        <i val="0"/>
        <strike val="0"/>
        <condense val="0"/>
        <extend val="0"/>
        <color indexed="16"/>
      </font>
    </dxf>
    <dxf>
      <font>
        <b val="0"/>
        <i val="0"/>
        <condense val="0"/>
        <extend val="0"/>
        <color indexed="23"/>
      </font>
    </dxf>
    <dxf>
      <font>
        <b/>
        <i val="0"/>
        <condense val="0"/>
        <extend val="0"/>
        <color indexed="18"/>
      </font>
      <fill>
        <patternFill patternType="none">
          <bgColor indexed="65"/>
        </patternFill>
      </fill>
      <border>
        <top style="thin">
          <color indexed="18"/>
        </top>
        <bottom style="thin">
          <color indexed="18"/>
        </bottom>
      </border>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i val="0"/>
        <condense val="0"/>
        <extend val="0"/>
        <color indexed="8"/>
      </font>
      <fill>
        <patternFill patternType="none">
          <bgColor indexed="65"/>
        </patternFill>
      </fill>
      <border>
        <top style="thin">
          <color indexed="64"/>
        </top>
        <bottom style="thin">
          <color indexed="64"/>
        </bottom>
      </border>
    </dxf>
    <dxf>
      <font>
        <strike val="0"/>
        <condense val="0"/>
        <extend val="0"/>
        <color indexed="23"/>
      </font>
    </dxf>
    <dxf>
      <fill>
        <patternFill patternType="none">
          <bgColor indexed="65"/>
        </patternFill>
      </fill>
      <border>
        <top style="thin">
          <color theme="3"/>
        </top>
        <bottom style="thin">
          <color theme="3"/>
        </bottom>
      </border>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i val="0"/>
        <condense val="0"/>
        <extend val="0"/>
        <color indexed="18"/>
      </font>
      <fill>
        <patternFill patternType="none">
          <bgColor indexed="65"/>
        </patternFill>
      </fill>
      <border>
        <top style="thin">
          <color indexed="18"/>
        </top>
        <bottom style="thin">
          <color indexed="18"/>
        </bottom>
      </border>
    </dxf>
    <dxf>
      <font>
        <b/>
        <i val="0"/>
        <condense val="0"/>
        <extend val="0"/>
        <color indexed="18"/>
      </font>
      <fill>
        <patternFill patternType="none">
          <bgColor indexed="65"/>
        </patternFill>
      </fill>
      <border>
        <top style="thin">
          <color indexed="18"/>
        </top>
        <bottom style="thin">
          <color indexed="18"/>
        </bottom>
      </border>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ill>
        <patternFill>
          <bgColor indexed="54"/>
        </patternFill>
      </fill>
    </dxf>
    <dxf>
      <font>
        <b/>
        <i val="0"/>
        <condense val="0"/>
        <extend val="0"/>
        <color indexed="18"/>
      </font>
      <fill>
        <patternFill patternType="none">
          <bgColor indexed="65"/>
        </patternFill>
      </fill>
      <border>
        <top style="thin">
          <color indexed="18"/>
        </top>
        <bottom style="thin">
          <color indexed="18"/>
        </bottom>
      </border>
    </dxf>
    <dxf>
      <font>
        <b/>
        <i val="0"/>
        <condense val="0"/>
        <extend val="0"/>
        <color indexed="9"/>
      </font>
      <fill>
        <patternFill>
          <bgColor indexed="62"/>
        </patternFill>
      </fill>
    </dxf>
    <dxf>
      <font>
        <b/>
        <i val="0"/>
        <condense val="0"/>
        <extend val="0"/>
        <color indexed="9"/>
      </font>
      <fill>
        <patternFill>
          <bgColor indexed="16"/>
        </patternFill>
      </fill>
    </dxf>
    <dxf>
      <font>
        <b/>
        <i val="0"/>
        <condense val="0"/>
        <extend val="0"/>
        <color indexed="62"/>
      </font>
    </dxf>
    <dxf>
      <font>
        <b/>
        <i val="0"/>
        <condense val="0"/>
        <extend val="0"/>
        <color indexed="16"/>
      </font>
    </dxf>
    <dxf>
      <font>
        <condense val="0"/>
        <extend val="0"/>
        <color indexed="9"/>
      </font>
    </dxf>
    <dxf>
      <font>
        <condense val="0"/>
        <extend val="0"/>
        <color indexed="8"/>
      </font>
      <fill>
        <patternFill>
          <bgColor indexed="55"/>
        </patternFill>
      </fill>
    </dxf>
    <dxf>
      <font>
        <b/>
        <i val="0"/>
        <strike val="0"/>
        <condense val="0"/>
        <extend val="0"/>
        <color indexed="16"/>
      </font>
    </dxf>
    <dxf>
      <font>
        <b/>
        <i val="0"/>
        <condense val="0"/>
        <extend val="0"/>
        <color indexed="8"/>
      </font>
      <fill>
        <patternFill patternType="none">
          <bgColor indexed="65"/>
        </patternFill>
      </fill>
      <border>
        <top style="thin">
          <color indexed="64"/>
        </top>
        <bottom style="thin">
          <color indexed="64"/>
        </bottom>
      </border>
    </dxf>
    <dxf>
      <font>
        <b val="0"/>
        <i val="0"/>
        <condense val="0"/>
        <extend val="0"/>
        <color indexed="23"/>
      </font>
    </dxf>
    <dxf>
      <font>
        <b/>
        <i val="0"/>
        <condense val="0"/>
        <extend val="0"/>
        <color indexed="18"/>
      </font>
      <fill>
        <patternFill patternType="none">
          <bgColor indexed="65"/>
        </patternFill>
      </fill>
      <border>
        <top style="thin">
          <color indexed="18"/>
        </top>
        <bottom style="thin">
          <color indexed="18"/>
        </bottom>
      </border>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i val="0"/>
        <condense val="0"/>
        <extend val="0"/>
        <color indexed="8"/>
      </font>
      <fill>
        <patternFill patternType="none">
          <bgColor indexed="65"/>
        </patternFill>
      </fill>
      <border>
        <top style="thin">
          <color indexed="64"/>
        </top>
        <bottom style="thin">
          <color indexed="64"/>
        </bottom>
      </border>
    </dxf>
    <dxf>
      <fill>
        <patternFill>
          <bgColor indexed="54"/>
        </patternFill>
      </fill>
    </dxf>
    <dxf>
      <font>
        <b/>
        <i val="0"/>
        <condense val="0"/>
        <extend val="0"/>
        <color indexed="18"/>
      </font>
      <fill>
        <patternFill patternType="none">
          <bgColor indexed="65"/>
        </patternFill>
      </fill>
      <border>
        <top style="thin">
          <color indexed="18"/>
        </top>
        <bottom style="thin">
          <color indexed="18"/>
        </bottom>
      </border>
    </dxf>
    <dxf>
      <font>
        <b/>
        <i val="0"/>
        <condense val="0"/>
        <extend val="0"/>
        <color indexed="9"/>
      </font>
      <fill>
        <patternFill>
          <bgColor indexed="62"/>
        </patternFill>
      </fill>
    </dxf>
    <dxf>
      <font>
        <b/>
        <i val="0"/>
        <condense val="0"/>
        <extend val="0"/>
        <color indexed="9"/>
      </font>
      <fill>
        <patternFill>
          <bgColor indexed="16"/>
        </patternFill>
      </fill>
    </dxf>
    <dxf>
      <font>
        <b/>
        <i val="0"/>
        <condense val="0"/>
        <extend val="0"/>
        <color indexed="62"/>
      </font>
    </dxf>
    <dxf>
      <font>
        <b/>
        <i val="0"/>
        <condense val="0"/>
        <extend val="0"/>
        <color indexed="16"/>
      </font>
    </dxf>
    <dxf>
      <font>
        <condense val="0"/>
        <extend val="0"/>
        <color indexed="9"/>
      </font>
    </dxf>
    <dxf>
      <font>
        <condense val="0"/>
        <extend val="0"/>
        <color indexed="8"/>
      </font>
      <fill>
        <patternFill>
          <bgColor indexed="55"/>
        </patternFill>
      </fill>
    </dxf>
    <dxf>
      <font>
        <b/>
        <i val="0"/>
        <strike val="0"/>
        <condense val="0"/>
        <extend val="0"/>
        <color indexed="16"/>
      </font>
    </dxf>
    <dxf>
      <font>
        <b/>
        <i val="0"/>
        <condense val="0"/>
        <extend val="0"/>
        <color indexed="8"/>
      </font>
      <fill>
        <patternFill patternType="none">
          <bgColor indexed="65"/>
        </patternFill>
      </fill>
      <border>
        <top style="thin">
          <color indexed="64"/>
        </top>
        <bottom style="thin">
          <color indexed="64"/>
        </bottom>
      </border>
    </dxf>
    <dxf>
      <font>
        <b val="0"/>
        <i val="0"/>
        <condense val="0"/>
        <extend val="0"/>
        <color indexed="23"/>
      </font>
    </dxf>
    <dxf>
      <font>
        <b/>
        <i val="0"/>
        <condense val="0"/>
        <extend val="0"/>
        <color indexed="18"/>
      </font>
      <fill>
        <patternFill patternType="none">
          <bgColor indexed="65"/>
        </patternFill>
      </fill>
      <border>
        <top style="thin">
          <color indexed="18"/>
        </top>
        <bottom style="thin">
          <color indexed="18"/>
        </bottom>
      </border>
    </dxf>
    <dxf>
      <font>
        <b/>
        <i val="0"/>
        <condense val="0"/>
        <extend val="0"/>
        <color indexed="18"/>
      </font>
      <fill>
        <patternFill patternType="none">
          <bgColor indexed="65"/>
        </patternFill>
      </fill>
      <border>
        <top style="thin">
          <color indexed="18"/>
        </top>
        <bottom style="thin">
          <color indexed="18"/>
        </bottom>
      </border>
    </dxf>
    <dxf>
      <font>
        <b/>
        <i val="0"/>
        <condense val="0"/>
        <extend val="0"/>
        <color indexed="18"/>
      </font>
      <fill>
        <patternFill patternType="none">
          <bgColor indexed="65"/>
        </patternFill>
      </fill>
      <border>
        <top style="thin">
          <color indexed="18"/>
        </top>
        <bottom style="thin">
          <color indexed="18"/>
        </bottom>
      </border>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i val="0"/>
        <condense val="0"/>
        <extend val="0"/>
        <color indexed="8"/>
      </font>
      <fill>
        <patternFill patternType="none">
          <bgColor indexed="65"/>
        </patternFill>
      </fill>
      <border>
        <top style="thin">
          <color indexed="64"/>
        </top>
        <bottom style="thin">
          <color indexed="64"/>
        </bottom>
      </border>
    </dxf>
    <dxf>
      <font>
        <b/>
        <i val="0"/>
        <condense val="0"/>
        <extend val="0"/>
        <color indexed="8"/>
      </font>
      <fill>
        <patternFill patternType="none">
          <bgColor indexed="65"/>
        </patternFill>
      </fill>
      <border>
        <top style="thin">
          <color indexed="64"/>
        </top>
        <bottom style="thin">
          <color indexed="64"/>
        </bottom>
      </border>
    </dxf>
    <dxf>
      <font>
        <b/>
        <i val="0"/>
        <condense val="0"/>
        <extend val="0"/>
        <color indexed="8"/>
      </font>
      <fill>
        <patternFill patternType="none">
          <bgColor indexed="65"/>
        </patternFill>
      </fill>
      <border>
        <top style="thin">
          <color indexed="64"/>
        </top>
        <bottom style="thin">
          <color indexed="64"/>
        </bottom>
      </border>
    </dxf>
    <dxf>
      <font>
        <b val="0"/>
        <i val="0"/>
        <condense val="0"/>
        <extend val="0"/>
        <color indexed="23"/>
      </font>
    </dxf>
    <dxf>
      <fill>
        <patternFill>
          <bgColor indexed="54"/>
        </patternFill>
      </fill>
    </dxf>
    <dxf>
      <font>
        <b/>
        <i val="0"/>
        <condense val="0"/>
        <extend val="0"/>
        <color indexed="18"/>
      </font>
      <fill>
        <patternFill patternType="none">
          <bgColor indexed="65"/>
        </patternFill>
      </fill>
      <border>
        <top style="thin">
          <color indexed="18"/>
        </top>
        <bottom style="thin">
          <color indexed="18"/>
        </bottom>
      </border>
    </dxf>
    <dxf>
      <font>
        <strike val="0"/>
        <condense val="0"/>
        <extend val="0"/>
        <color indexed="23"/>
      </font>
    </dxf>
    <dxf>
      <font>
        <condense val="0"/>
        <extend val="0"/>
        <color indexed="9"/>
      </font>
    </dxf>
    <dxf>
      <font>
        <condense val="0"/>
        <extend val="0"/>
        <color indexed="9"/>
      </font>
    </dxf>
    <dxf>
      <font>
        <condense val="0"/>
        <extend val="0"/>
        <color indexed="8"/>
      </font>
      <fill>
        <patternFill>
          <bgColor indexed="55"/>
        </patternFill>
      </fill>
    </dxf>
    <dxf>
      <font>
        <b/>
        <i val="0"/>
        <strike val="0"/>
        <condense val="0"/>
        <extend val="0"/>
        <color indexed="16"/>
      </font>
    </dxf>
    <dxf>
      <font>
        <b/>
        <i val="0"/>
        <condense val="0"/>
        <extend val="0"/>
        <color indexed="8"/>
      </font>
      <fill>
        <patternFill patternType="none">
          <bgColor indexed="65"/>
        </patternFill>
      </fill>
      <border>
        <top style="thin">
          <color indexed="64"/>
        </top>
        <bottom style="thin">
          <color indexed="64"/>
        </bottom>
      </border>
    </dxf>
    <dxf>
      <font>
        <b/>
        <i val="0"/>
        <condense val="0"/>
        <extend val="0"/>
        <color indexed="9"/>
      </font>
      <fill>
        <patternFill>
          <bgColor indexed="62"/>
        </patternFill>
      </fill>
    </dxf>
    <dxf>
      <font>
        <b/>
        <i val="0"/>
        <condense val="0"/>
        <extend val="0"/>
        <color indexed="9"/>
      </font>
      <fill>
        <patternFill>
          <bgColor indexed="16"/>
        </patternFill>
      </fill>
    </dxf>
    <dxf>
      <font>
        <b/>
        <i val="0"/>
        <condense val="0"/>
        <extend val="0"/>
        <color indexed="62"/>
      </font>
    </dxf>
    <dxf>
      <font>
        <b/>
        <i val="0"/>
        <condense val="0"/>
        <extend val="0"/>
        <color indexed="16"/>
      </font>
    </dxf>
    <dxf>
      <font>
        <b/>
        <i val="0"/>
        <condense val="0"/>
        <extend val="0"/>
        <color indexed="18"/>
      </font>
      <fill>
        <patternFill patternType="none">
          <bgColor indexed="65"/>
        </patternFill>
      </fill>
      <border>
        <top style="thin">
          <color indexed="18"/>
        </top>
        <bottom style="thin">
          <color indexed="18"/>
        </bottom>
      </border>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val="0"/>
        <i val="0"/>
        <condense val="0"/>
        <extend val="0"/>
        <color indexed="23"/>
      </font>
    </dxf>
    <dxf>
      <font>
        <b/>
        <i val="0"/>
        <condense val="0"/>
        <extend val="0"/>
        <color indexed="8"/>
      </font>
      <fill>
        <patternFill patternType="none">
          <bgColor indexed="65"/>
        </patternFill>
      </fill>
      <border>
        <top style="thin">
          <color indexed="64"/>
        </top>
        <bottom style="thin">
          <color indexed="64"/>
        </bottom>
      </border>
    </dxf>
    <dxf>
      <font>
        <strike val="0"/>
        <condense val="0"/>
        <extend val="0"/>
        <color indexed="18"/>
      </font>
    </dxf>
    <dxf>
      <font>
        <strike val="0"/>
        <condense val="0"/>
        <extend val="0"/>
        <color indexed="23"/>
      </font>
    </dxf>
    <dxf>
      <font>
        <b/>
        <i val="0"/>
        <condense val="0"/>
        <extend val="0"/>
        <color indexed="62"/>
      </font>
    </dxf>
    <dxf>
      <font>
        <b/>
        <i val="0"/>
        <condense val="0"/>
        <extend val="0"/>
        <color indexed="16"/>
      </font>
    </dxf>
    <dxf>
      <font>
        <b/>
        <i val="0"/>
        <condense val="0"/>
        <extend val="0"/>
        <color indexed="9"/>
      </font>
      <fill>
        <patternFill>
          <bgColor indexed="62"/>
        </patternFill>
      </fill>
    </dxf>
    <dxf>
      <font>
        <b/>
        <i val="0"/>
        <condense val="0"/>
        <extend val="0"/>
        <color indexed="9"/>
      </font>
      <fill>
        <patternFill>
          <bgColor indexed="16"/>
        </patternFill>
      </fill>
    </dxf>
    <dxf>
      <font>
        <b/>
        <i val="0"/>
        <condense val="0"/>
        <extend val="0"/>
        <color indexed="23"/>
      </font>
    </dxf>
    <dxf>
      <font>
        <b/>
        <i val="0"/>
        <condense val="0"/>
        <extend val="0"/>
        <color indexed="23"/>
      </font>
    </dxf>
    <dxf>
      <font>
        <b/>
        <i val="0"/>
        <condense val="0"/>
        <extend val="0"/>
        <color indexed="55"/>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fmlaLink="AH6" lockText="1"/>
</file>

<file path=xl/ctrlProps/ctrlProp2.xml><?xml version="1.0" encoding="utf-8"?>
<formControlPr xmlns="http://schemas.microsoft.com/office/spreadsheetml/2009/9/main" objectType="CheckBox" fmlaLink="AH7" lockText="1"/>
</file>

<file path=xl/ctrlProps/ctrlProp3.xml><?xml version="1.0" encoding="utf-8"?>
<formControlPr xmlns="http://schemas.microsoft.com/office/spreadsheetml/2009/9/main" objectType="CheckBox" fmlaLink="AH8" lockText="1"/>
</file>

<file path=xl/ctrlProps/ctrlProp4.xml><?xml version="1.0" encoding="utf-8"?>
<formControlPr xmlns="http://schemas.microsoft.com/office/spreadsheetml/2009/9/main" objectType="CheckBox" fmlaLink="AH9" lockText="1"/>
</file>

<file path=xl/ctrlProps/ctrlProp5.xml><?xml version="1.0" encoding="utf-8"?>
<formControlPr xmlns="http://schemas.microsoft.com/office/spreadsheetml/2009/9/main" objectType="CheckBox" fmlaLink="AH10" lockText="1"/>
</file>

<file path=xl/ctrlProps/ctrlProp6.xml><?xml version="1.0" encoding="utf-8"?>
<formControlPr xmlns="http://schemas.microsoft.com/office/spreadsheetml/2009/9/main" objectType="CheckBox" fmlaLink="AH11" lockText="1"/>
</file>

<file path=xl/ctrlProps/ctrlProp7.xml><?xml version="1.0" encoding="utf-8"?>
<formControlPr xmlns="http://schemas.microsoft.com/office/spreadsheetml/2009/9/main" objectType="CheckBox" fmlaLink="AH12" lockText="1"/>
</file>

<file path=xl/ctrlProps/ctrlProp8.xml><?xml version="1.0" encoding="utf-8"?>
<formControlPr xmlns="http://schemas.microsoft.com/office/spreadsheetml/2009/9/main" objectType="CheckBox" fmlaLink="AH13" lockText="1"/>
</file>

<file path=xl/ctrlProps/ctrlProp9.xml><?xml version="1.0" encoding="utf-8"?>
<formControlPr xmlns="http://schemas.microsoft.com/office/spreadsheetml/2009/9/main" objectType="CheckBox" fmlaLink="AH14" lockText="1"/>
</file>

<file path=xl/ctrlProps/ctrlProp10.xml><?xml version="1.0" encoding="utf-8"?>
<formControlPr xmlns="http://schemas.microsoft.com/office/spreadsheetml/2009/9/main" objectType="CheckBox" fmlaLink="AH15" lockText="1"/>
</file>

<file path=xl/ctrlProps/ctrlProp11.xml><?xml version="1.0" encoding="utf-8"?>
<formControlPr xmlns="http://schemas.microsoft.com/office/spreadsheetml/2009/9/main" objectType="CheckBox" fmlaLink="AH16" lockText="1"/>
</file>

<file path=xl/ctrlProps/ctrlProp12.xml><?xml version="1.0" encoding="utf-8"?>
<formControlPr xmlns="http://schemas.microsoft.com/office/spreadsheetml/2009/9/main" objectType="CheckBox" fmlaLink="AH17" lockText="1"/>
</file>

<file path=xl/ctrlProps/ctrlProp13.xml><?xml version="1.0" encoding="utf-8"?>
<formControlPr xmlns="http://schemas.microsoft.com/office/spreadsheetml/2009/9/main" objectType="CheckBox" fmlaLink="AH18" lockText="1"/>
</file>

<file path=xl/ctrlProps/ctrlProp14.xml><?xml version="1.0" encoding="utf-8"?>
<formControlPr xmlns="http://schemas.microsoft.com/office/spreadsheetml/2009/9/main" objectType="CheckBox" fmlaLink="AH19" lockText="1"/>
</file>

<file path=xl/ctrlProps/ctrlProp15.xml><?xml version="1.0" encoding="utf-8"?>
<formControlPr xmlns="http://schemas.microsoft.com/office/spreadsheetml/2009/9/main" objectType="CheckBox" fmlaLink="AH20" lockText="1"/>
</file>

<file path=xl/ctrlProps/ctrlProp16.xml><?xml version="1.0" encoding="utf-8"?>
<formControlPr xmlns="http://schemas.microsoft.com/office/spreadsheetml/2009/9/main" objectType="CheckBox" fmlaLink="AH21" lockText="1"/>
</file>

<file path=xl/ctrlProps/ctrlProp17.xml><?xml version="1.0" encoding="utf-8"?>
<formControlPr xmlns="http://schemas.microsoft.com/office/spreadsheetml/2009/9/main" objectType="CheckBox" fmlaLink="AH22" lockText="1"/>
</file>

<file path=xl/ctrlProps/ctrlProp18.xml><?xml version="1.0" encoding="utf-8"?>
<formControlPr xmlns="http://schemas.microsoft.com/office/spreadsheetml/2009/9/main" objectType="CheckBox" fmlaLink="AH23" lockText="1"/>
</file>

<file path=xl/ctrlProps/ctrlProp19.xml><?xml version="1.0" encoding="utf-8"?>
<formControlPr xmlns="http://schemas.microsoft.com/office/spreadsheetml/2009/9/main" objectType="CheckBox" fmlaLink="AH24" lockText="1"/>
</file>

<file path=xl/ctrlProps/ctrlProp20.xml><?xml version="1.0" encoding="utf-8"?>
<formControlPr xmlns="http://schemas.microsoft.com/office/spreadsheetml/2009/9/main" objectType="CheckBox" fmlaLink="AH25" lockText="1"/>
</file>

<file path=xl/ctrlProps/ctrlProp21.xml><?xml version="1.0" encoding="utf-8"?>
<formControlPr xmlns="http://schemas.microsoft.com/office/spreadsheetml/2009/9/main" objectType="CheckBox" fmlaLink="AH26" lockText="1"/>
</file>

<file path=xl/ctrlProps/ctrlProp22.xml><?xml version="1.0" encoding="utf-8"?>
<formControlPr xmlns="http://schemas.microsoft.com/office/spreadsheetml/2009/9/main" objectType="CheckBox" fmlaLink="AH27" lockText="1"/>
</file>

<file path=xl/ctrlProps/ctrlProp23.xml><?xml version="1.0" encoding="utf-8"?>
<formControlPr xmlns="http://schemas.microsoft.com/office/spreadsheetml/2009/9/main" objectType="CheckBox" fmlaLink="AH28" lockText="1"/>
</file>

<file path=xl/ctrlProps/ctrlProp24.xml><?xml version="1.0" encoding="utf-8"?>
<formControlPr xmlns="http://schemas.microsoft.com/office/spreadsheetml/2009/9/main" objectType="CheckBox" fmlaLink="AH29" lockText="1"/>
</file>

<file path=xl/ctrlProps/ctrlProp25.xml><?xml version="1.0" encoding="utf-8"?>
<formControlPr xmlns="http://schemas.microsoft.com/office/spreadsheetml/2009/9/main" objectType="Radio" firstButton="1" fmlaLink="$B$14" lockText="1"/>
</file>

<file path=xl/ctrlProps/ctrlProp26.xml><?xml version="1.0" encoding="utf-8"?>
<formControlPr xmlns="http://schemas.microsoft.com/office/spreadsheetml/2009/9/main" objectType="Radio" checked="Checked"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checked="Checked" firstButton="1" fmlaLink="$L$3" lockText="1"/>
</file>

<file path=xl/ctrlProps/ctrlProp29.xml><?xml version="1.0" encoding="utf-8"?>
<formControlPr xmlns="http://schemas.microsoft.com/office/spreadsheetml/2009/9/main" objectType="Radio" lockText="1"/>
</file>

<file path=xl/ctrlProps/ctrlProp30.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8.pn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9.png"/><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9.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4</xdr:col>
      <xdr:colOff>123825</xdr:colOff>
      <xdr:row>13</xdr:row>
      <xdr:rowOff>152400</xdr:rowOff>
    </xdr:from>
    <xdr:to>
      <xdr:col>4</xdr:col>
      <xdr:colOff>304800</xdr:colOff>
      <xdr:row>14</xdr:row>
      <xdr:rowOff>85725</xdr:rowOff>
    </xdr:to>
    <xdr:pic>
      <xdr:nvPicPr>
        <xdr:cNvPr id="2648" name="Picture 392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3305175"/>
          <a:ext cx="18097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428625</xdr:colOff>
      <xdr:row>21</xdr:row>
      <xdr:rowOff>38100</xdr:rowOff>
    </xdr:from>
    <xdr:to>
      <xdr:col>4</xdr:col>
      <xdr:colOff>66675</xdr:colOff>
      <xdr:row>21</xdr:row>
      <xdr:rowOff>209550</xdr:rowOff>
    </xdr:to>
    <xdr:pic>
      <xdr:nvPicPr>
        <xdr:cNvPr id="2649" name="Picture 392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00425" y="5095875"/>
          <a:ext cx="171450"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428625</xdr:colOff>
      <xdr:row>3</xdr:row>
      <xdr:rowOff>66675</xdr:rowOff>
    </xdr:from>
    <xdr:to>
      <xdr:col>12</xdr:col>
      <xdr:colOff>609600</xdr:colOff>
      <xdr:row>4</xdr:row>
      <xdr:rowOff>0</xdr:rowOff>
    </xdr:to>
    <xdr:pic>
      <xdr:nvPicPr>
        <xdr:cNvPr id="2650" name="Picture 392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01025" y="838200"/>
          <a:ext cx="18097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304800</xdr:colOff>
      <xdr:row>2</xdr:row>
      <xdr:rowOff>95250</xdr:rowOff>
    </xdr:from>
    <xdr:to>
      <xdr:col>43</xdr:col>
      <xdr:colOff>228600</xdr:colOff>
      <xdr:row>42</xdr:row>
      <xdr:rowOff>190500</xdr:rowOff>
    </xdr:to>
    <xdr:grpSp>
      <xdr:nvGrpSpPr>
        <xdr:cNvPr id="2651" name="Group 371"/>
        <xdr:cNvGrpSpPr>
          <a:grpSpLocks/>
        </xdr:cNvGrpSpPr>
      </xdr:nvGrpSpPr>
      <xdr:grpSpPr bwMode="auto">
        <a:xfrm>
          <a:off x="13344525" y="628650"/>
          <a:ext cx="5381625" cy="9620250"/>
          <a:chOff x="699" y="176"/>
          <a:chExt cx="534" cy="1009"/>
        </a:xfrm>
      </xdr:grpSpPr>
      <xdr:sp macro="" textlink="">
        <xdr:nvSpPr>
          <xdr:cNvPr id="2420" name="Text Box 372"/>
          <xdr:cNvSpPr txBox="1">
            <a:spLocks noChangeArrowheads="1"/>
          </xdr:cNvSpPr>
        </xdr:nvSpPr>
        <xdr:spPr bwMode="auto">
          <a:xfrm>
            <a:off x="704" y="176"/>
            <a:ext cx="526" cy="28"/>
          </a:xfrm>
          <a:prstGeom prst="rect">
            <a:avLst/>
          </a:prstGeom>
          <a:solidFill>
            <a:srgbClr val="666699">
              <a:alpha val="80000"/>
            </a:srgbClr>
          </a:solidFill>
          <a:ln w="9525">
            <a:noFill/>
            <a:miter lim="800000"/>
            <a:headEnd/>
            <a:tailEnd/>
          </a:ln>
        </xdr:spPr>
        <xdr:txBody>
          <a:bodyPr vertOverflow="clip" wrap="square" lIns="27432" tIns="27432" rIns="0" bIns="27432" anchor="ctr" upright="1"/>
          <a:lstStyle/>
          <a:p>
            <a:pPr algn="l" rtl="0">
              <a:defRPr sz="1000"/>
            </a:pPr>
            <a:r>
              <a:rPr lang="pt-PT" sz="800" b="0" i="0" u="none" strike="noStrike" baseline="0">
                <a:solidFill>
                  <a:srgbClr val="FFFFFF"/>
                </a:solidFill>
                <a:latin typeface="Arial Black"/>
              </a:rPr>
              <a:t>EXCEL 97 - 2003</a:t>
            </a:r>
          </a:p>
        </xdr:txBody>
      </xdr:sp>
      <xdr:pic>
        <xdr:nvPicPr>
          <xdr:cNvPr id="2657" name="Picture 373" descr="Activar MACROS 97-200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9" y="208"/>
            <a:ext cx="534" cy="9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LocksWithSheet="0" fPrintsWithSheet="0"/>
  </xdr:twoCellAnchor>
  <xdr:twoCellAnchor editAs="oneCell">
    <xdr:from>
      <xdr:col>43</xdr:col>
      <xdr:colOff>352425</xdr:colOff>
      <xdr:row>2</xdr:row>
      <xdr:rowOff>104775</xdr:rowOff>
    </xdr:from>
    <xdr:to>
      <xdr:col>53</xdr:col>
      <xdr:colOff>66675</xdr:colOff>
      <xdr:row>23</xdr:row>
      <xdr:rowOff>133350</xdr:rowOff>
    </xdr:to>
    <xdr:grpSp>
      <xdr:nvGrpSpPr>
        <xdr:cNvPr id="2652" name="Group 374"/>
        <xdr:cNvGrpSpPr>
          <a:grpSpLocks/>
        </xdr:cNvGrpSpPr>
      </xdr:nvGrpSpPr>
      <xdr:grpSpPr bwMode="auto">
        <a:xfrm>
          <a:off x="18849975" y="638175"/>
          <a:ext cx="6115050" cy="5029200"/>
          <a:chOff x="1308" y="86"/>
          <a:chExt cx="539" cy="521"/>
        </a:xfrm>
      </xdr:grpSpPr>
      <xdr:sp macro="" textlink="">
        <xdr:nvSpPr>
          <xdr:cNvPr id="2423" name="Text Box 375"/>
          <xdr:cNvSpPr txBox="1">
            <a:spLocks noChangeArrowheads="1"/>
          </xdr:cNvSpPr>
        </xdr:nvSpPr>
        <xdr:spPr bwMode="auto">
          <a:xfrm>
            <a:off x="1316" y="86"/>
            <a:ext cx="526" cy="28"/>
          </a:xfrm>
          <a:prstGeom prst="rect">
            <a:avLst/>
          </a:prstGeom>
          <a:solidFill>
            <a:srgbClr val="666699">
              <a:alpha val="60001"/>
            </a:srgbClr>
          </a:solidFill>
          <a:ln w="9525">
            <a:noFill/>
            <a:miter lim="800000"/>
            <a:headEnd/>
            <a:tailEnd/>
          </a:ln>
        </xdr:spPr>
        <xdr:txBody>
          <a:bodyPr vertOverflow="clip" wrap="square" lIns="27432" tIns="27432" rIns="0" bIns="27432" anchor="ctr" upright="1"/>
          <a:lstStyle/>
          <a:p>
            <a:pPr algn="l" rtl="0">
              <a:defRPr sz="1000"/>
            </a:pPr>
            <a:r>
              <a:rPr lang="pt-PT" sz="800" b="0" i="0" u="none" strike="noStrike" baseline="0">
                <a:solidFill>
                  <a:srgbClr val="FFFFFF"/>
                </a:solidFill>
                <a:latin typeface="Arial Black"/>
              </a:rPr>
              <a:t>EXCEL 2007</a:t>
            </a:r>
          </a:p>
        </xdr:txBody>
      </xdr:sp>
      <xdr:pic>
        <xdr:nvPicPr>
          <xdr:cNvPr id="2655" name="Picture 376" descr="Activar MACROS 200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08" y="120"/>
            <a:ext cx="539" cy="487"/>
          </a:xfrm>
          <a:prstGeom prst="rect">
            <a:avLst/>
          </a:prstGeom>
          <a:solidFill>
            <a:srgbClr val="666699"/>
          </a:solidFill>
          <a:ln>
            <a:noFill/>
          </a:ln>
          <a:extLst>
            <a:ext uri="{91240B29-F687-4F45-9708-019B960494DF}">
              <a14:hiddenLine xmlns:a14="http://schemas.microsoft.com/office/drawing/2010/main" w="9525">
                <a:solidFill>
                  <a:srgbClr val="000000"/>
                </a:solidFill>
                <a:miter lim="800000"/>
                <a:headEnd/>
                <a:tailEnd/>
              </a14:hiddenLine>
            </a:ext>
          </a:extLst>
        </xdr:spPr>
      </xdr:pic>
    </xdr:grpSp>
    <xdr:clientData fLocksWithSheet="0" fPrintsWithSheet="0"/>
  </xdr:twoCellAnchor>
  <xdr:twoCellAnchor>
    <xdr:from>
      <xdr:col>35</xdr:col>
      <xdr:colOff>123825</xdr:colOff>
      <xdr:row>0</xdr:row>
      <xdr:rowOff>66675</xdr:rowOff>
    </xdr:from>
    <xdr:to>
      <xdr:col>36</xdr:col>
      <xdr:colOff>276225</xdr:colOff>
      <xdr:row>1</xdr:row>
      <xdr:rowOff>180975</xdr:rowOff>
    </xdr:to>
    <xdr:sp macro="" textlink="">
      <xdr:nvSpPr>
        <xdr:cNvPr id="2425" name="AutoShape 377"/>
        <xdr:cNvSpPr>
          <a:spLocks noChangeArrowheads="1"/>
        </xdr:cNvSpPr>
      </xdr:nvSpPr>
      <xdr:spPr bwMode="auto">
        <a:xfrm>
          <a:off x="14592300" y="66675"/>
          <a:ext cx="628650" cy="352425"/>
        </a:xfrm>
        <a:prstGeom prst="rightArrow">
          <a:avLst>
            <a:gd name="adj1" fmla="val 50000"/>
            <a:gd name="adj2" fmla="val 44595"/>
          </a:avLst>
        </a:prstGeom>
        <a:solidFill>
          <a:srgbClr val="666699"/>
        </a:solidFill>
        <a:ln w="9525">
          <a:solidFill>
            <a:srgbClr val="666699"/>
          </a:solidFill>
          <a:miter lim="800000"/>
          <a:headEnd/>
          <a:tailEnd/>
        </a:ln>
      </xdr:spPr>
      <xdr:txBody>
        <a:bodyPr vertOverflow="clip" wrap="square" lIns="27432" tIns="22860" rIns="0" bIns="0" anchor="t" upright="1"/>
        <a:lstStyle/>
        <a:p>
          <a:pPr algn="l" rtl="0">
            <a:defRPr sz="1000"/>
          </a:pPr>
          <a:r>
            <a:rPr lang="pt-PT" sz="1000" b="0" i="0" u="none" strike="noStrike" baseline="0">
              <a:solidFill>
                <a:srgbClr val="FFFFFF"/>
              </a:solidFill>
              <a:latin typeface="Arial Rounded MT Bold"/>
            </a:rPr>
            <a:t>AJUDA?</a:t>
          </a:r>
        </a:p>
      </xdr:txBody>
    </xdr:sp>
    <xdr:clientData/>
  </xdr:twoCellAnchor>
  <mc:AlternateContent xmlns:mc="http://schemas.openxmlformats.org/markup-compatibility/2006">
    <mc:Choice xmlns:a14="http://schemas.microsoft.com/office/drawing/2010/main" Requires="a14">
      <xdr:twoCellAnchor editAs="oneCell">
        <xdr:from>
          <xdr:col>16</xdr:col>
          <xdr:colOff>276225</xdr:colOff>
          <xdr:row>5</xdr:row>
          <xdr:rowOff>0</xdr:rowOff>
        </xdr:from>
        <xdr:to>
          <xdr:col>16</xdr:col>
          <xdr:colOff>581025</xdr:colOff>
          <xdr:row>5</xdr:row>
          <xdr:rowOff>219075</xdr:rowOff>
        </xdr:to>
        <xdr:sp macro="" textlink="">
          <xdr:nvSpPr>
            <xdr:cNvPr id="2086" name="Check Box 38" hidden="1">
              <a:extLst>
                <a:ext uri="{63B3BB69-23CF-44E3-9099-C40C66FF867C}">
                  <a14:compatExt spid="_x0000_s208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6</xdr:row>
          <xdr:rowOff>0</xdr:rowOff>
        </xdr:from>
        <xdr:to>
          <xdr:col>16</xdr:col>
          <xdr:colOff>581025</xdr:colOff>
          <xdr:row>6</xdr:row>
          <xdr:rowOff>228600</xdr:rowOff>
        </xdr:to>
        <xdr:sp macro="" textlink="">
          <xdr:nvSpPr>
            <xdr:cNvPr id="2087" name="Check Box 39" hidden="1">
              <a:extLst>
                <a:ext uri="{63B3BB69-23CF-44E3-9099-C40C66FF867C}">
                  <a14:compatExt spid="_x0000_s208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7</xdr:row>
          <xdr:rowOff>0</xdr:rowOff>
        </xdr:from>
        <xdr:to>
          <xdr:col>16</xdr:col>
          <xdr:colOff>581025</xdr:colOff>
          <xdr:row>7</xdr:row>
          <xdr:rowOff>228600</xdr:rowOff>
        </xdr:to>
        <xdr:sp macro="" textlink="">
          <xdr:nvSpPr>
            <xdr:cNvPr id="2088" name="Check Box 40" hidden="1">
              <a:extLst>
                <a:ext uri="{63B3BB69-23CF-44E3-9099-C40C66FF867C}">
                  <a14:compatExt spid="_x0000_s208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8</xdr:row>
          <xdr:rowOff>0</xdr:rowOff>
        </xdr:from>
        <xdr:to>
          <xdr:col>16</xdr:col>
          <xdr:colOff>581025</xdr:colOff>
          <xdr:row>8</xdr:row>
          <xdr:rowOff>228600</xdr:rowOff>
        </xdr:to>
        <xdr:sp macro="" textlink="">
          <xdr:nvSpPr>
            <xdr:cNvPr id="2089" name="Check Box 41" hidden="1">
              <a:extLst>
                <a:ext uri="{63B3BB69-23CF-44E3-9099-C40C66FF867C}">
                  <a14:compatExt spid="_x0000_s208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9</xdr:row>
          <xdr:rowOff>0</xdr:rowOff>
        </xdr:from>
        <xdr:to>
          <xdr:col>16</xdr:col>
          <xdr:colOff>581025</xdr:colOff>
          <xdr:row>9</xdr:row>
          <xdr:rowOff>228600</xdr:rowOff>
        </xdr:to>
        <xdr:sp macro="" textlink="">
          <xdr:nvSpPr>
            <xdr:cNvPr id="2090" name="Check Box 42" hidden="1">
              <a:extLst>
                <a:ext uri="{63B3BB69-23CF-44E3-9099-C40C66FF867C}">
                  <a14:compatExt spid="_x0000_s209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10</xdr:row>
          <xdr:rowOff>0</xdr:rowOff>
        </xdr:from>
        <xdr:to>
          <xdr:col>16</xdr:col>
          <xdr:colOff>581025</xdr:colOff>
          <xdr:row>10</xdr:row>
          <xdr:rowOff>228600</xdr:rowOff>
        </xdr:to>
        <xdr:sp macro="" textlink="">
          <xdr:nvSpPr>
            <xdr:cNvPr id="2091" name="Check Box 43" hidden="1">
              <a:extLst>
                <a:ext uri="{63B3BB69-23CF-44E3-9099-C40C66FF867C}">
                  <a14:compatExt spid="_x0000_s209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11</xdr:row>
          <xdr:rowOff>0</xdr:rowOff>
        </xdr:from>
        <xdr:to>
          <xdr:col>16</xdr:col>
          <xdr:colOff>581025</xdr:colOff>
          <xdr:row>11</xdr:row>
          <xdr:rowOff>228600</xdr:rowOff>
        </xdr:to>
        <xdr:sp macro="" textlink="">
          <xdr:nvSpPr>
            <xdr:cNvPr id="2092" name="Check Box 44" hidden="1">
              <a:extLst>
                <a:ext uri="{63B3BB69-23CF-44E3-9099-C40C66FF867C}">
                  <a14:compatExt spid="_x0000_s209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12</xdr:row>
          <xdr:rowOff>0</xdr:rowOff>
        </xdr:from>
        <xdr:to>
          <xdr:col>16</xdr:col>
          <xdr:colOff>581025</xdr:colOff>
          <xdr:row>12</xdr:row>
          <xdr:rowOff>228600</xdr:rowOff>
        </xdr:to>
        <xdr:sp macro="" textlink="">
          <xdr:nvSpPr>
            <xdr:cNvPr id="2093" name="Check Box 45" hidden="1">
              <a:extLst>
                <a:ext uri="{63B3BB69-23CF-44E3-9099-C40C66FF867C}">
                  <a14:compatExt spid="_x0000_s209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13</xdr:row>
          <xdr:rowOff>0</xdr:rowOff>
        </xdr:from>
        <xdr:to>
          <xdr:col>16</xdr:col>
          <xdr:colOff>581025</xdr:colOff>
          <xdr:row>13</xdr:row>
          <xdr:rowOff>228600</xdr:rowOff>
        </xdr:to>
        <xdr:sp macro="" textlink="">
          <xdr:nvSpPr>
            <xdr:cNvPr id="2094" name="Check Box 46" hidden="1">
              <a:extLst>
                <a:ext uri="{63B3BB69-23CF-44E3-9099-C40C66FF867C}">
                  <a14:compatExt spid="_x0000_s209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14</xdr:row>
          <xdr:rowOff>0</xdr:rowOff>
        </xdr:from>
        <xdr:to>
          <xdr:col>16</xdr:col>
          <xdr:colOff>581025</xdr:colOff>
          <xdr:row>14</xdr:row>
          <xdr:rowOff>228600</xdr:rowOff>
        </xdr:to>
        <xdr:sp macro="" textlink="">
          <xdr:nvSpPr>
            <xdr:cNvPr id="2095" name="Check Box 47" hidden="1">
              <a:extLst>
                <a:ext uri="{63B3BB69-23CF-44E3-9099-C40C66FF867C}">
                  <a14:compatExt spid="_x0000_s209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15</xdr:row>
          <xdr:rowOff>0</xdr:rowOff>
        </xdr:from>
        <xdr:to>
          <xdr:col>16</xdr:col>
          <xdr:colOff>581025</xdr:colOff>
          <xdr:row>15</xdr:row>
          <xdr:rowOff>228600</xdr:rowOff>
        </xdr:to>
        <xdr:sp macro="" textlink="">
          <xdr:nvSpPr>
            <xdr:cNvPr id="2096" name="Check Box 48" hidden="1">
              <a:extLst>
                <a:ext uri="{63B3BB69-23CF-44E3-9099-C40C66FF867C}">
                  <a14:compatExt spid="_x0000_s209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16</xdr:row>
          <xdr:rowOff>0</xdr:rowOff>
        </xdr:from>
        <xdr:to>
          <xdr:col>16</xdr:col>
          <xdr:colOff>581025</xdr:colOff>
          <xdr:row>16</xdr:row>
          <xdr:rowOff>228600</xdr:rowOff>
        </xdr:to>
        <xdr:sp macro="" textlink="">
          <xdr:nvSpPr>
            <xdr:cNvPr id="2097" name="Check Box 49" hidden="1">
              <a:extLst>
                <a:ext uri="{63B3BB69-23CF-44E3-9099-C40C66FF867C}">
                  <a14:compatExt spid="_x0000_s209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17</xdr:row>
          <xdr:rowOff>0</xdr:rowOff>
        </xdr:from>
        <xdr:to>
          <xdr:col>16</xdr:col>
          <xdr:colOff>581025</xdr:colOff>
          <xdr:row>17</xdr:row>
          <xdr:rowOff>228600</xdr:rowOff>
        </xdr:to>
        <xdr:sp macro="" textlink="">
          <xdr:nvSpPr>
            <xdr:cNvPr id="2098" name="Check Box 50" hidden="1">
              <a:extLst>
                <a:ext uri="{63B3BB69-23CF-44E3-9099-C40C66FF867C}">
                  <a14:compatExt spid="_x0000_s209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18</xdr:row>
          <xdr:rowOff>0</xdr:rowOff>
        </xdr:from>
        <xdr:to>
          <xdr:col>16</xdr:col>
          <xdr:colOff>581025</xdr:colOff>
          <xdr:row>18</xdr:row>
          <xdr:rowOff>228600</xdr:rowOff>
        </xdr:to>
        <xdr:sp macro="" textlink="">
          <xdr:nvSpPr>
            <xdr:cNvPr id="2099" name="Check Box 51" hidden="1">
              <a:extLst>
                <a:ext uri="{63B3BB69-23CF-44E3-9099-C40C66FF867C}">
                  <a14:compatExt spid="_x0000_s209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19</xdr:row>
          <xdr:rowOff>0</xdr:rowOff>
        </xdr:from>
        <xdr:to>
          <xdr:col>16</xdr:col>
          <xdr:colOff>581025</xdr:colOff>
          <xdr:row>19</xdr:row>
          <xdr:rowOff>228600</xdr:rowOff>
        </xdr:to>
        <xdr:sp macro="" textlink="">
          <xdr:nvSpPr>
            <xdr:cNvPr id="2100" name="Check Box 52" hidden="1">
              <a:extLst>
                <a:ext uri="{63B3BB69-23CF-44E3-9099-C40C66FF867C}">
                  <a14:compatExt spid="_x0000_s210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20</xdr:row>
          <xdr:rowOff>0</xdr:rowOff>
        </xdr:from>
        <xdr:to>
          <xdr:col>16</xdr:col>
          <xdr:colOff>581025</xdr:colOff>
          <xdr:row>20</xdr:row>
          <xdr:rowOff>228600</xdr:rowOff>
        </xdr:to>
        <xdr:sp macro="" textlink="">
          <xdr:nvSpPr>
            <xdr:cNvPr id="2101" name="Check Box 53" hidden="1">
              <a:extLst>
                <a:ext uri="{63B3BB69-23CF-44E3-9099-C40C66FF867C}">
                  <a14:compatExt spid="_x0000_s210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21</xdr:row>
          <xdr:rowOff>0</xdr:rowOff>
        </xdr:from>
        <xdr:to>
          <xdr:col>16</xdr:col>
          <xdr:colOff>581025</xdr:colOff>
          <xdr:row>21</xdr:row>
          <xdr:rowOff>228600</xdr:rowOff>
        </xdr:to>
        <xdr:sp macro="" textlink="">
          <xdr:nvSpPr>
            <xdr:cNvPr id="2102" name="Check Box 54" hidden="1">
              <a:extLst>
                <a:ext uri="{63B3BB69-23CF-44E3-9099-C40C66FF867C}">
                  <a14:compatExt spid="_x0000_s210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22</xdr:row>
          <xdr:rowOff>0</xdr:rowOff>
        </xdr:from>
        <xdr:to>
          <xdr:col>16</xdr:col>
          <xdr:colOff>581025</xdr:colOff>
          <xdr:row>22</xdr:row>
          <xdr:rowOff>228600</xdr:rowOff>
        </xdr:to>
        <xdr:sp macro="" textlink="">
          <xdr:nvSpPr>
            <xdr:cNvPr id="2103" name="Check Box 55" hidden="1">
              <a:extLst>
                <a:ext uri="{63B3BB69-23CF-44E3-9099-C40C66FF867C}">
                  <a14:compatExt spid="_x0000_s210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23</xdr:row>
          <xdr:rowOff>0</xdr:rowOff>
        </xdr:from>
        <xdr:to>
          <xdr:col>16</xdr:col>
          <xdr:colOff>581025</xdr:colOff>
          <xdr:row>23</xdr:row>
          <xdr:rowOff>228600</xdr:rowOff>
        </xdr:to>
        <xdr:sp macro="" textlink="">
          <xdr:nvSpPr>
            <xdr:cNvPr id="2104" name="Check Box 56" hidden="1">
              <a:extLst>
                <a:ext uri="{63B3BB69-23CF-44E3-9099-C40C66FF867C}">
                  <a14:compatExt spid="_x0000_s210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24</xdr:row>
          <xdr:rowOff>0</xdr:rowOff>
        </xdr:from>
        <xdr:to>
          <xdr:col>16</xdr:col>
          <xdr:colOff>581025</xdr:colOff>
          <xdr:row>24</xdr:row>
          <xdr:rowOff>228600</xdr:rowOff>
        </xdr:to>
        <xdr:sp macro="" textlink="">
          <xdr:nvSpPr>
            <xdr:cNvPr id="2105" name="Check Box 57" hidden="1">
              <a:extLst>
                <a:ext uri="{63B3BB69-23CF-44E3-9099-C40C66FF867C}">
                  <a14:compatExt spid="_x0000_s210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25</xdr:row>
          <xdr:rowOff>0</xdr:rowOff>
        </xdr:from>
        <xdr:to>
          <xdr:col>16</xdr:col>
          <xdr:colOff>581025</xdr:colOff>
          <xdr:row>25</xdr:row>
          <xdr:rowOff>228600</xdr:rowOff>
        </xdr:to>
        <xdr:sp macro="" textlink="">
          <xdr:nvSpPr>
            <xdr:cNvPr id="2106" name="Check Box 58" hidden="1">
              <a:extLst>
                <a:ext uri="{63B3BB69-23CF-44E3-9099-C40C66FF867C}">
                  <a14:compatExt spid="_x0000_s210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26</xdr:row>
          <xdr:rowOff>0</xdr:rowOff>
        </xdr:from>
        <xdr:to>
          <xdr:col>16</xdr:col>
          <xdr:colOff>581025</xdr:colOff>
          <xdr:row>26</xdr:row>
          <xdr:rowOff>228600</xdr:rowOff>
        </xdr:to>
        <xdr:sp macro="" textlink="">
          <xdr:nvSpPr>
            <xdr:cNvPr id="2107" name="Check Box 59" hidden="1">
              <a:extLst>
                <a:ext uri="{63B3BB69-23CF-44E3-9099-C40C66FF867C}">
                  <a14:compatExt spid="_x0000_s210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27</xdr:row>
          <xdr:rowOff>0</xdr:rowOff>
        </xdr:from>
        <xdr:to>
          <xdr:col>16</xdr:col>
          <xdr:colOff>581025</xdr:colOff>
          <xdr:row>27</xdr:row>
          <xdr:rowOff>228600</xdr:rowOff>
        </xdr:to>
        <xdr:sp macro="" textlink="">
          <xdr:nvSpPr>
            <xdr:cNvPr id="2108" name="Check Box 60" hidden="1">
              <a:extLst>
                <a:ext uri="{63B3BB69-23CF-44E3-9099-C40C66FF867C}">
                  <a14:compatExt spid="_x0000_s210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28</xdr:row>
          <xdr:rowOff>0</xdr:rowOff>
        </xdr:from>
        <xdr:to>
          <xdr:col>16</xdr:col>
          <xdr:colOff>581025</xdr:colOff>
          <xdr:row>28</xdr:row>
          <xdr:rowOff>228600</xdr:rowOff>
        </xdr:to>
        <xdr:sp macro="" textlink="">
          <xdr:nvSpPr>
            <xdr:cNvPr id="2109" name="Check Box 61" hidden="1">
              <a:extLst>
                <a:ext uri="{63B3BB69-23CF-44E3-9099-C40C66FF867C}">
                  <a14:compatExt spid="_x0000_s210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504825</xdr:colOff>
          <xdr:row>12</xdr:row>
          <xdr:rowOff>228600</xdr:rowOff>
        </xdr:from>
        <xdr:to>
          <xdr:col>4</xdr:col>
          <xdr:colOff>161925</xdr:colOff>
          <xdr:row>13</xdr:row>
          <xdr:rowOff>209550</xdr:rowOff>
        </xdr:to>
        <xdr:sp macro="" textlink="">
          <xdr:nvSpPr>
            <xdr:cNvPr id="2113" name="Option Button 65" hidden="1">
              <a:extLst>
                <a:ext uri="{63B3BB69-23CF-44E3-9099-C40C66FF867C}">
                  <a14:compatExt spid="_x0000_s21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PT" sz="800" b="0" i="0" u="none" strike="noStrike" baseline="0">
                  <a:solidFill>
                    <a:srgbClr val="000000"/>
                  </a:solidFill>
                  <a:latin typeface="Tahoma"/>
                  <a:ea typeface="Tahoma"/>
                  <a:cs typeface="Tahoma"/>
                </a:rPr>
                <a:t>Feminino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504825</xdr:colOff>
          <xdr:row>12</xdr:row>
          <xdr:rowOff>9525</xdr:rowOff>
        </xdr:from>
        <xdr:to>
          <xdr:col>4</xdr:col>
          <xdr:colOff>304800</xdr:colOff>
          <xdr:row>12</xdr:row>
          <xdr:rowOff>228600</xdr:rowOff>
        </xdr:to>
        <xdr:sp macro="" textlink="">
          <xdr:nvSpPr>
            <xdr:cNvPr id="2114" name="Option Button 66" hidden="1">
              <a:extLst>
                <a:ext uri="{63B3BB69-23CF-44E3-9099-C40C66FF867C}">
                  <a14:compatExt spid="_x0000_s21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PT" sz="800" b="0" i="0" u="none" strike="noStrike" baseline="0">
                  <a:solidFill>
                    <a:srgbClr val="000000"/>
                  </a:solidFill>
                  <a:latin typeface="Tahoma"/>
                  <a:ea typeface="Tahoma"/>
                  <a:cs typeface="Tahoma"/>
                </a:rPr>
                <a:t>Masculino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504825</xdr:colOff>
          <xdr:row>13</xdr:row>
          <xdr:rowOff>219075</xdr:rowOff>
        </xdr:from>
        <xdr:to>
          <xdr:col>4</xdr:col>
          <xdr:colOff>161925</xdr:colOff>
          <xdr:row>14</xdr:row>
          <xdr:rowOff>200025</xdr:rowOff>
        </xdr:to>
        <xdr:sp macro="" textlink="">
          <xdr:nvSpPr>
            <xdr:cNvPr id="2115" name="Option Button 67" hidden="1">
              <a:extLst>
                <a:ext uri="{63B3BB69-23CF-44E3-9099-C40C66FF867C}">
                  <a14:compatExt spid="_x0000_s21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PT" sz="800" b="0" i="0" u="none" strike="noStrike" baseline="0">
                  <a:solidFill>
                    <a:srgbClr val="000000"/>
                  </a:solidFill>
                  <a:latin typeface="Tahoma"/>
                  <a:ea typeface="Tahoma"/>
                  <a:cs typeface="Tahoma"/>
                </a:rPr>
                <a:t>Misto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228600</xdr:colOff>
          <xdr:row>2</xdr:row>
          <xdr:rowOff>123825</xdr:rowOff>
        </xdr:from>
        <xdr:to>
          <xdr:col>12</xdr:col>
          <xdr:colOff>571500</xdr:colOff>
          <xdr:row>3</xdr:row>
          <xdr:rowOff>104775</xdr:rowOff>
        </xdr:to>
        <xdr:sp macro="" textlink="">
          <xdr:nvSpPr>
            <xdr:cNvPr id="2129" name="Option Button 81" hidden="1">
              <a:extLst>
                <a:ext uri="{63B3BB69-23CF-44E3-9099-C40C66FF867C}">
                  <a14:compatExt spid="_x0000_s21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PT" sz="800" b="0" i="0" u="none" strike="noStrike" baseline="0">
                  <a:solidFill>
                    <a:srgbClr val="000000"/>
                  </a:solidFill>
                  <a:latin typeface="Tahoma"/>
                  <a:ea typeface="Tahoma"/>
                  <a:cs typeface="Tahoma"/>
                </a:rPr>
                <a:t>Jogadores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609600</xdr:colOff>
          <xdr:row>2</xdr:row>
          <xdr:rowOff>123825</xdr:rowOff>
        </xdr:from>
        <xdr:to>
          <xdr:col>12</xdr:col>
          <xdr:colOff>1333500</xdr:colOff>
          <xdr:row>3</xdr:row>
          <xdr:rowOff>104775</xdr:rowOff>
        </xdr:to>
        <xdr:sp macro="" textlink="">
          <xdr:nvSpPr>
            <xdr:cNvPr id="2130" name="Option Button 82" hidden="1">
              <a:extLst>
                <a:ext uri="{63B3BB69-23CF-44E3-9099-C40C66FF867C}">
                  <a14:compatExt spid="_x0000_s21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PT" sz="800" b="0" i="0" u="none" strike="noStrike" baseline="0">
                  <a:solidFill>
                    <a:srgbClr val="000000"/>
                  </a:solidFill>
                  <a:latin typeface="Tahoma"/>
                  <a:ea typeface="Tahoma"/>
                  <a:cs typeface="Tahoma"/>
                </a:rPr>
                <a:t>Equipas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2</xdr:row>
          <xdr:rowOff>66675</xdr:rowOff>
        </xdr:from>
        <xdr:to>
          <xdr:col>12</xdr:col>
          <xdr:colOff>1400175</xdr:colOff>
          <xdr:row>3</xdr:row>
          <xdr:rowOff>171450</xdr:rowOff>
        </xdr:to>
        <xdr:sp macro="" textlink="">
          <xdr:nvSpPr>
            <xdr:cNvPr id="2131" name="Group Box 83" hidden="1">
              <a:extLst>
                <a:ext uri="{63B3BB69-23CF-44E3-9099-C40C66FF867C}">
                  <a14:compatExt spid="_x0000_s2131"/>
                </a:ext>
              </a:extLst>
            </xdr:cNvPr>
            <xdr:cNvSpPr/>
          </xdr:nvSpPr>
          <xdr:spPr>
            <a:xfrm>
              <a:off x="0" y="0"/>
              <a:ext cx="0" cy="0"/>
            </a:xfrm>
            <a:prstGeom prst="rect">
              <a:avLst/>
            </a:prstGeom>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77</xdr:row>
      <xdr:rowOff>19050</xdr:rowOff>
    </xdr:from>
    <xdr:to>
      <xdr:col>23</xdr:col>
      <xdr:colOff>28575</xdr:colOff>
      <xdr:row>77</xdr:row>
      <xdr:rowOff>180975</xdr:rowOff>
    </xdr:to>
    <xdr:sp macro="" textlink="">
      <xdr:nvSpPr>
        <xdr:cNvPr id="28591" name="AutoShape 2"/>
        <xdr:cNvSpPr>
          <a:spLocks noChangeArrowheads="1"/>
        </xdr:cNvSpPr>
      </xdr:nvSpPr>
      <xdr:spPr bwMode="auto">
        <a:xfrm>
          <a:off x="0" y="22583775"/>
          <a:ext cx="17459325" cy="161925"/>
        </a:xfrm>
        <a:prstGeom prst="flowChartAlternateProcess">
          <a:avLst/>
        </a:prstGeom>
        <a:gradFill rotWithShape="1">
          <a:gsLst>
            <a:gs pos="0">
              <a:srgbClr val="333399"/>
            </a:gs>
            <a:gs pos="100000">
              <a:srgbClr val="FFFFFF"/>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23</xdr:col>
      <xdr:colOff>0</xdr:colOff>
      <xdr:row>0</xdr:row>
      <xdr:rowOff>123825</xdr:rowOff>
    </xdr:to>
    <xdr:sp macro="" textlink="">
      <xdr:nvSpPr>
        <xdr:cNvPr id="28592" name="AutoShape 3"/>
        <xdr:cNvSpPr>
          <a:spLocks noChangeArrowheads="1"/>
        </xdr:cNvSpPr>
      </xdr:nvSpPr>
      <xdr:spPr bwMode="auto">
        <a:xfrm>
          <a:off x="0" y="0"/>
          <a:ext cx="17430750" cy="123825"/>
        </a:xfrm>
        <a:prstGeom prst="flowChartAlternateProcess">
          <a:avLst/>
        </a:prstGeom>
        <a:gradFill rotWithShape="1">
          <a:gsLst>
            <a:gs pos="0">
              <a:srgbClr val="000000"/>
            </a:gs>
            <a:gs pos="100000">
              <a:srgbClr val="FFFFFF"/>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9</xdr:col>
      <xdr:colOff>1057275</xdr:colOff>
      <xdr:row>74</xdr:row>
      <xdr:rowOff>47625</xdr:rowOff>
    </xdr:from>
    <xdr:to>
      <xdr:col>22</xdr:col>
      <xdr:colOff>323850</xdr:colOff>
      <xdr:row>76</xdr:row>
      <xdr:rowOff>38100</xdr:rowOff>
    </xdr:to>
    <xdr:sp macro="" textlink="">
      <xdr:nvSpPr>
        <xdr:cNvPr id="1035" name="AutoShape 11"/>
        <xdr:cNvSpPr>
          <a:spLocks noChangeArrowheads="1"/>
        </xdr:cNvSpPr>
      </xdr:nvSpPr>
      <xdr:spPr bwMode="auto">
        <a:xfrm>
          <a:off x="8343900" y="21697950"/>
          <a:ext cx="9077325" cy="581025"/>
        </a:xfrm>
        <a:prstGeom prst="flowChartAlternateProcess">
          <a:avLst/>
        </a:prstGeom>
        <a:noFill/>
        <a:ln w="25400">
          <a:solidFill>
            <a:srgbClr val="666699"/>
          </a:solidFill>
          <a:miter lim="800000"/>
          <a:headEnd/>
          <a:tailEnd/>
        </a:ln>
      </xdr:spPr>
      <xdr:txBody>
        <a:bodyPr vertOverflow="clip" wrap="square" lIns="54864" tIns="54864" rIns="54864" bIns="54864" anchor="ctr" upright="1"/>
        <a:lstStyle/>
        <a:p>
          <a:pPr algn="ctr" rtl="0">
            <a:defRPr sz="1000"/>
          </a:pPr>
          <a:r>
            <a:rPr lang="pt-PT" sz="2800" b="1" i="0" u="none" strike="noStrike" baseline="0">
              <a:solidFill>
                <a:srgbClr val="666699"/>
              </a:solidFill>
              <a:latin typeface="Calibri"/>
            </a:rPr>
            <a:t>Quem perde na Tabela azul</a:t>
          </a:r>
          <a:r>
            <a:rPr lang="pt-PT" sz="2800" b="1" i="0" u="none" strike="noStrike" baseline="0">
              <a:solidFill>
                <a:srgbClr val="000000"/>
              </a:solidFill>
              <a:latin typeface="Calibri"/>
            </a:rPr>
            <a:t>, termina o torneio.</a:t>
          </a:r>
        </a:p>
      </xdr:txBody>
    </xdr:sp>
    <xdr:clientData/>
  </xdr:twoCellAnchor>
  <xdr:twoCellAnchor>
    <xdr:from>
      <xdr:col>9</xdr:col>
      <xdr:colOff>676275</xdr:colOff>
      <xdr:row>2</xdr:row>
      <xdr:rowOff>76200</xdr:rowOff>
    </xdr:from>
    <xdr:to>
      <xdr:col>22</xdr:col>
      <xdr:colOff>314325</xdr:colOff>
      <xdr:row>3</xdr:row>
      <xdr:rowOff>257175</xdr:rowOff>
    </xdr:to>
    <xdr:sp macro="" textlink="">
      <xdr:nvSpPr>
        <xdr:cNvPr id="1036" name="AutoShape 12"/>
        <xdr:cNvSpPr>
          <a:spLocks noChangeArrowheads="1"/>
        </xdr:cNvSpPr>
      </xdr:nvSpPr>
      <xdr:spPr bwMode="auto">
        <a:xfrm>
          <a:off x="7962900" y="428625"/>
          <a:ext cx="9448800" cy="514350"/>
        </a:xfrm>
        <a:prstGeom prst="flowChartAlternateProcess">
          <a:avLst/>
        </a:prstGeom>
        <a:noFill/>
        <a:ln w="25400">
          <a:solidFill>
            <a:srgbClr val="808080"/>
          </a:solidFill>
          <a:miter lim="800000"/>
          <a:headEnd/>
          <a:tailEnd/>
        </a:ln>
      </xdr:spPr>
      <xdr:txBody>
        <a:bodyPr vertOverflow="clip" wrap="square" lIns="54864" tIns="54864" rIns="54864" bIns="54864" anchor="ctr" upright="1"/>
        <a:lstStyle/>
        <a:p>
          <a:pPr algn="ctr" rtl="0">
            <a:defRPr sz="1000"/>
          </a:pPr>
          <a:r>
            <a:rPr lang="pt-PT" sz="2800" b="1" i="0" u="none" strike="noStrike" baseline="0">
              <a:solidFill>
                <a:srgbClr val="808080"/>
              </a:solidFill>
              <a:latin typeface="Calibri"/>
            </a:rPr>
            <a:t>Quem perde na Tabela cinzenta</a:t>
          </a:r>
          <a:r>
            <a:rPr lang="pt-PT" sz="2800" b="1" i="0" u="none" strike="noStrike" baseline="0">
              <a:solidFill>
                <a:srgbClr val="000000"/>
              </a:solidFill>
              <a:latin typeface="Calibri"/>
            </a:rPr>
            <a:t>, </a:t>
          </a:r>
          <a:r>
            <a:rPr lang="pt-PT" sz="2800" b="1" i="0" u="none" strike="noStrike" baseline="0">
              <a:solidFill>
                <a:srgbClr val="666699"/>
              </a:solidFill>
              <a:latin typeface="Calibri"/>
            </a:rPr>
            <a:t>passa para a azul.</a:t>
          </a:r>
        </a:p>
      </xdr:txBody>
    </xdr:sp>
    <xdr:clientData/>
  </xdr:twoCellAnchor>
  <xdr:twoCellAnchor>
    <xdr:from>
      <xdr:col>2</xdr:col>
      <xdr:colOff>19050</xdr:colOff>
      <xdr:row>3</xdr:row>
      <xdr:rowOff>152400</xdr:rowOff>
    </xdr:from>
    <xdr:to>
      <xdr:col>3</xdr:col>
      <xdr:colOff>0</xdr:colOff>
      <xdr:row>5</xdr:row>
      <xdr:rowOff>152400</xdr:rowOff>
    </xdr:to>
    <xdr:grpSp>
      <xdr:nvGrpSpPr>
        <xdr:cNvPr id="28595" name="Group 18"/>
        <xdr:cNvGrpSpPr>
          <a:grpSpLocks/>
        </xdr:cNvGrpSpPr>
      </xdr:nvGrpSpPr>
      <xdr:grpSpPr bwMode="auto">
        <a:xfrm>
          <a:off x="1974850" y="838200"/>
          <a:ext cx="463550" cy="584200"/>
          <a:chOff x="205" y="88"/>
          <a:chExt cx="48" cy="62"/>
        </a:xfrm>
      </xdr:grpSpPr>
      <xdr:cxnSp macro="">
        <xdr:nvCxnSpPr>
          <xdr:cNvPr id="35979"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80"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81"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82"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7</xdr:row>
      <xdr:rowOff>152400</xdr:rowOff>
    </xdr:from>
    <xdr:to>
      <xdr:col>3</xdr:col>
      <xdr:colOff>0</xdr:colOff>
      <xdr:row>9</xdr:row>
      <xdr:rowOff>152400</xdr:rowOff>
    </xdr:to>
    <xdr:grpSp>
      <xdr:nvGrpSpPr>
        <xdr:cNvPr id="28596" name="Group 19"/>
        <xdr:cNvGrpSpPr>
          <a:grpSpLocks/>
        </xdr:cNvGrpSpPr>
      </xdr:nvGrpSpPr>
      <xdr:grpSpPr bwMode="auto">
        <a:xfrm>
          <a:off x="1974850" y="2006600"/>
          <a:ext cx="463550" cy="584200"/>
          <a:chOff x="205" y="88"/>
          <a:chExt cx="48" cy="62"/>
        </a:xfrm>
      </xdr:grpSpPr>
      <xdr:cxnSp macro="">
        <xdr:nvCxnSpPr>
          <xdr:cNvPr id="35975"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76"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77"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78"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11</xdr:row>
      <xdr:rowOff>161925</xdr:rowOff>
    </xdr:from>
    <xdr:to>
      <xdr:col>3</xdr:col>
      <xdr:colOff>0</xdr:colOff>
      <xdr:row>13</xdr:row>
      <xdr:rowOff>161925</xdr:rowOff>
    </xdr:to>
    <xdr:grpSp>
      <xdr:nvGrpSpPr>
        <xdr:cNvPr id="28597" name="Group 24"/>
        <xdr:cNvGrpSpPr>
          <a:grpSpLocks/>
        </xdr:cNvGrpSpPr>
      </xdr:nvGrpSpPr>
      <xdr:grpSpPr bwMode="auto">
        <a:xfrm>
          <a:off x="1974850" y="3184525"/>
          <a:ext cx="463550" cy="584200"/>
          <a:chOff x="205" y="88"/>
          <a:chExt cx="48" cy="62"/>
        </a:xfrm>
      </xdr:grpSpPr>
      <xdr:cxnSp macro="">
        <xdr:nvCxnSpPr>
          <xdr:cNvPr id="35971"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72"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73"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74"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15</xdr:row>
      <xdr:rowOff>152400</xdr:rowOff>
    </xdr:from>
    <xdr:to>
      <xdr:col>3</xdr:col>
      <xdr:colOff>0</xdr:colOff>
      <xdr:row>17</xdr:row>
      <xdr:rowOff>152400</xdr:rowOff>
    </xdr:to>
    <xdr:grpSp>
      <xdr:nvGrpSpPr>
        <xdr:cNvPr id="28598" name="Group 29"/>
        <xdr:cNvGrpSpPr>
          <a:grpSpLocks/>
        </xdr:cNvGrpSpPr>
      </xdr:nvGrpSpPr>
      <xdr:grpSpPr bwMode="auto">
        <a:xfrm>
          <a:off x="1974850" y="4343400"/>
          <a:ext cx="463550" cy="584200"/>
          <a:chOff x="205" y="88"/>
          <a:chExt cx="48" cy="62"/>
        </a:xfrm>
      </xdr:grpSpPr>
      <xdr:cxnSp macro="">
        <xdr:nvCxnSpPr>
          <xdr:cNvPr id="35967"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68"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69"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70"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19</xdr:row>
      <xdr:rowOff>142875</xdr:rowOff>
    </xdr:from>
    <xdr:to>
      <xdr:col>3</xdr:col>
      <xdr:colOff>0</xdr:colOff>
      <xdr:row>21</xdr:row>
      <xdr:rowOff>142875</xdr:rowOff>
    </xdr:to>
    <xdr:grpSp>
      <xdr:nvGrpSpPr>
        <xdr:cNvPr id="28599" name="Group 34"/>
        <xdr:cNvGrpSpPr>
          <a:grpSpLocks/>
        </xdr:cNvGrpSpPr>
      </xdr:nvGrpSpPr>
      <xdr:grpSpPr bwMode="auto">
        <a:xfrm>
          <a:off x="1974850" y="5502275"/>
          <a:ext cx="463550" cy="584200"/>
          <a:chOff x="205" y="88"/>
          <a:chExt cx="48" cy="62"/>
        </a:xfrm>
      </xdr:grpSpPr>
      <xdr:cxnSp macro="">
        <xdr:nvCxnSpPr>
          <xdr:cNvPr id="35963"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64"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65"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66"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23</xdr:row>
      <xdr:rowOff>161925</xdr:rowOff>
    </xdr:from>
    <xdr:to>
      <xdr:col>3</xdr:col>
      <xdr:colOff>0</xdr:colOff>
      <xdr:row>25</xdr:row>
      <xdr:rowOff>161925</xdr:rowOff>
    </xdr:to>
    <xdr:grpSp>
      <xdr:nvGrpSpPr>
        <xdr:cNvPr id="28600" name="Group 39"/>
        <xdr:cNvGrpSpPr>
          <a:grpSpLocks/>
        </xdr:cNvGrpSpPr>
      </xdr:nvGrpSpPr>
      <xdr:grpSpPr bwMode="auto">
        <a:xfrm>
          <a:off x="1974850" y="6689725"/>
          <a:ext cx="463550" cy="584200"/>
          <a:chOff x="205" y="88"/>
          <a:chExt cx="48" cy="62"/>
        </a:xfrm>
      </xdr:grpSpPr>
      <xdr:cxnSp macro="">
        <xdr:nvCxnSpPr>
          <xdr:cNvPr id="35959"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60"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61"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62"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19050</xdr:colOff>
      <xdr:row>4</xdr:row>
      <xdr:rowOff>161925</xdr:rowOff>
    </xdr:from>
    <xdr:to>
      <xdr:col>6</xdr:col>
      <xdr:colOff>0</xdr:colOff>
      <xdr:row>8</xdr:row>
      <xdr:rowOff>161925</xdr:rowOff>
    </xdr:to>
    <xdr:grpSp>
      <xdr:nvGrpSpPr>
        <xdr:cNvPr id="28601" name="Group 44"/>
        <xdr:cNvGrpSpPr>
          <a:grpSpLocks/>
        </xdr:cNvGrpSpPr>
      </xdr:nvGrpSpPr>
      <xdr:grpSpPr bwMode="auto">
        <a:xfrm>
          <a:off x="4413250" y="1139825"/>
          <a:ext cx="463550" cy="1168400"/>
          <a:chOff x="205" y="88"/>
          <a:chExt cx="48" cy="62"/>
        </a:xfrm>
      </xdr:grpSpPr>
      <xdr:cxnSp macro="">
        <xdr:nvCxnSpPr>
          <xdr:cNvPr id="35955"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56"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57"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58"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19050</xdr:colOff>
      <xdr:row>12</xdr:row>
      <xdr:rowOff>161925</xdr:rowOff>
    </xdr:from>
    <xdr:to>
      <xdr:col>6</xdr:col>
      <xdr:colOff>0</xdr:colOff>
      <xdr:row>16</xdr:row>
      <xdr:rowOff>161925</xdr:rowOff>
    </xdr:to>
    <xdr:grpSp>
      <xdr:nvGrpSpPr>
        <xdr:cNvPr id="28602" name="Group 49"/>
        <xdr:cNvGrpSpPr>
          <a:grpSpLocks/>
        </xdr:cNvGrpSpPr>
      </xdr:nvGrpSpPr>
      <xdr:grpSpPr bwMode="auto">
        <a:xfrm>
          <a:off x="4413250" y="3476625"/>
          <a:ext cx="463550" cy="1168400"/>
          <a:chOff x="205" y="88"/>
          <a:chExt cx="48" cy="62"/>
        </a:xfrm>
      </xdr:grpSpPr>
      <xdr:cxnSp macro="">
        <xdr:nvCxnSpPr>
          <xdr:cNvPr id="35951"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52"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53"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54"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257175</xdr:colOff>
      <xdr:row>22</xdr:row>
      <xdr:rowOff>161925</xdr:rowOff>
    </xdr:from>
    <xdr:to>
      <xdr:col>6</xdr:col>
      <xdr:colOff>0</xdr:colOff>
      <xdr:row>22</xdr:row>
      <xdr:rowOff>161925</xdr:rowOff>
    </xdr:to>
    <xdr:cxnSp macro="">
      <xdr:nvCxnSpPr>
        <xdr:cNvPr id="28603" name="Straight Connector 44"/>
        <xdr:cNvCxnSpPr>
          <a:cxnSpLocks noChangeShapeType="1"/>
        </xdr:cNvCxnSpPr>
      </xdr:nvCxnSpPr>
      <xdr:spPr bwMode="auto">
        <a:xfrm>
          <a:off x="4638675" y="6457950"/>
          <a:ext cx="2190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20</xdr:row>
      <xdr:rowOff>161925</xdr:rowOff>
    </xdr:from>
    <xdr:to>
      <xdr:col>5</xdr:col>
      <xdr:colOff>266700</xdr:colOff>
      <xdr:row>20</xdr:row>
      <xdr:rowOff>161925</xdr:rowOff>
    </xdr:to>
    <xdr:cxnSp macro="">
      <xdr:nvCxnSpPr>
        <xdr:cNvPr id="28604" name="Straight Connector 40"/>
        <xdr:cNvCxnSpPr>
          <a:cxnSpLocks noChangeShapeType="1"/>
        </xdr:cNvCxnSpPr>
      </xdr:nvCxnSpPr>
      <xdr:spPr bwMode="auto">
        <a:xfrm>
          <a:off x="4400550" y="5867400"/>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24</xdr:row>
      <xdr:rowOff>161925</xdr:rowOff>
    </xdr:from>
    <xdr:to>
      <xdr:col>5</xdr:col>
      <xdr:colOff>257175</xdr:colOff>
      <xdr:row>24</xdr:row>
      <xdr:rowOff>161925</xdr:rowOff>
    </xdr:to>
    <xdr:cxnSp macro="">
      <xdr:nvCxnSpPr>
        <xdr:cNvPr id="28605" name="Straight Connector 41"/>
        <xdr:cNvCxnSpPr>
          <a:cxnSpLocks noChangeShapeType="1"/>
        </xdr:cNvCxnSpPr>
      </xdr:nvCxnSpPr>
      <xdr:spPr bwMode="auto">
        <a:xfrm>
          <a:off x="4400550" y="70485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20</xdr:row>
      <xdr:rowOff>161925</xdr:rowOff>
    </xdr:from>
    <xdr:to>
      <xdr:col>5</xdr:col>
      <xdr:colOff>257175</xdr:colOff>
      <xdr:row>24</xdr:row>
      <xdr:rowOff>161925</xdr:rowOff>
    </xdr:to>
    <xdr:cxnSp macro="">
      <xdr:nvCxnSpPr>
        <xdr:cNvPr id="28606" name="Straight Connector 59"/>
        <xdr:cNvCxnSpPr>
          <a:cxnSpLocks noChangeShapeType="1"/>
        </xdr:cNvCxnSpPr>
      </xdr:nvCxnSpPr>
      <xdr:spPr bwMode="auto">
        <a:xfrm rot="5400000">
          <a:off x="4048125" y="6457950"/>
          <a:ext cx="11811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6</xdr:row>
      <xdr:rowOff>152400</xdr:rowOff>
    </xdr:from>
    <xdr:to>
      <xdr:col>9</xdr:col>
      <xdr:colOff>0</xdr:colOff>
      <xdr:row>14</xdr:row>
      <xdr:rowOff>171450</xdr:rowOff>
    </xdr:to>
    <xdr:grpSp>
      <xdr:nvGrpSpPr>
        <xdr:cNvPr id="28607" name="Group 59"/>
        <xdr:cNvGrpSpPr>
          <a:grpSpLocks/>
        </xdr:cNvGrpSpPr>
      </xdr:nvGrpSpPr>
      <xdr:grpSpPr bwMode="auto">
        <a:xfrm>
          <a:off x="6851650" y="1714500"/>
          <a:ext cx="463550" cy="2355850"/>
          <a:chOff x="205" y="88"/>
          <a:chExt cx="48" cy="62"/>
        </a:xfrm>
      </xdr:grpSpPr>
      <xdr:cxnSp macro="">
        <xdr:nvCxnSpPr>
          <xdr:cNvPr id="35947"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48"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49"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50"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28575</xdr:colOff>
      <xdr:row>64</xdr:row>
      <xdr:rowOff>152400</xdr:rowOff>
    </xdr:from>
    <xdr:to>
      <xdr:col>2</xdr:col>
      <xdr:colOff>457200</xdr:colOff>
      <xdr:row>66</xdr:row>
      <xdr:rowOff>152400</xdr:rowOff>
    </xdr:to>
    <xdr:grpSp>
      <xdr:nvGrpSpPr>
        <xdr:cNvPr id="28608" name="Group 136"/>
        <xdr:cNvGrpSpPr>
          <a:grpSpLocks/>
        </xdr:cNvGrpSpPr>
      </xdr:nvGrpSpPr>
      <xdr:grpSpPr bwMode="auto">
        <a:xfrm>
          <a:off x="1984375" y="18656300"/>
          <a:ext cx="428625" cy="584200"/>
          <a:chOff x="197" y="863"/>
          <a:chExt cx="45" cy="62"/>
        </a:xfrm>
      </xdr:grpSpPr>
      <xdr:cxnSp macro="">
        <xdr:nvCxnSpPr>
          <xdr:cNvPr id="35943"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44"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45"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46"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9525</xdr:colOff>
      <xdr:row>56</xdr:row>
      <xdr:rowOff>123825</xdr:rowOff>
    </xdr:from>
    <xdr:to>
      <xdr:col>8</xdr:col>
      <xdr:colOff>466725</xdr:colOff>
      <xdr:row>60</xdr:row>
      <xdr:rowOff>142875</xdr:rowOff>
    </xdr:to>
    <xdr:grpSp>
      <xdr:nvGrpSpPr>
        <xdr:cNvPr id="28609" name="Group 100"/>
        <xdr:cNvGrpSpPr>
          <a:grpSpLocks/>
        </xdr:cNvGrpSpPr>
      </xdr:nvGrpSpPr>
      <xdr:grpSpPr bwMode="auto">
        <a:xfrm>
          <a:off x="6842125" y="16290925"/>
          <a:ext cx="457200" cy="1187450"/>
          <a:chOff x="205" y="88"/>
          <a:chExt cx="48" cy="62"/>
        </a:xfrm>
      </xdr:grpSpPr>
      <xdr:cxnSp macro="">
        <xdr:nvCxnSpPr>
          <xdr:cNvPr id="35939" name="Straight Connector 44"/>
          <xdr:cNvCxnSpPr>
            <a:cxnSpLocks noChangeShapeType="1"/>
          </xdr:cNvCxnSpPr>
        </xdr:nvCxnSpPr>
        <xdr:spPr bwMode="auto">
          <a:xfrm>
            <a:off x="230" y="119"/>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40" name="Straight Connector 40"/>
          <xdr:cNvCxnSpPr>
            <a:cxnSpLocks noChangeShapeType="1"/>
          </xdr:cNvCxnSpPr>
        </xdr:nvCxnSpPr>
        <xdr:spPr bwMode="auto">
          <a:xfrm>
            <a:off x="205" y="88"/>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41" name="Straight Connector 41"/>
          <xdr:cNvCxnSpPr>
            <a:cxnSpLocks noChangeShapeType="1"/>
          </xdr:cNvCxnSpPr>
        </xdr:nvCxnSpPr>
        <xdr:spPr bwMode="auto">
          <a:xfrm>
            <a:off x="205" y="150"/>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42" name="Straight Connector 59"/>
          <xdr:cNvCxnSpPr>
            <a:cxnSpLocks noChangeShapeType="1"/>
          </xdr:cNvCxnSpPr>
        </xdr:nvCxnSpPr>
        <xdr:spPr bwMode="auto">
          <a:xfrm rot="5400000">
            <a:off x="199" y="119"/>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11</xdr:col>
      <xdr:colOff>285750</xdr:colOff>
      <xdr:row>17</xdr:row>
      <xdr:rowOff>161925</xdr:rowOff>
    </xdr:from>
    <xdr:to>
      <xdr:col>12</xdr:col>
      <xdr:colOff>0</xdr:colOff>
      <xdr:row>17</xdr:row>
      <xdr:rowOff>161925</xdr:rowOff>
    </xdr:to>
    <xdr:cxnSp macro="">
      <xdr:nvCxnSpPr>
        <xdr:cNvPr id="28610" name="Straight Connector 44"/>
        <xdr:cNvCxnSpPr>
          <a:cxnSpLocks noChangeShapeType="1"/>
        </xdr:cNvCxnSpPr>
      </xdr:nvCxnSpPr>
      <xdr:spPr bwMode="auto">
        <a:xfrm>
          <a:off x="9525000" y="4981575"/>
          <a:ext cx="1905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19050</xdr:colOff>
      <xdr:row>10</xdr:row>
      <xdr:rowOff>152400</xdr:rowOff>
    </xdr:from>
    <xdr:to>
      <xdr:col>11</xdr:col>
      <xdr:colOff>266700</xdr:colOff>
      <xdr:row>10</xdr:row>
      <xdr:rowOff>152400</xdr:rowOff>
    </xdr:to>
    <xdr:cxnSp macro="">
      <xdr:nvCxnSpPr>
        <xdr:cNvPr id="28611" name="Straight Connector 40"/>
        <xdr:cNvCxnSpPr>
          <a:cxnSpLocks noChangeShapeType="1"/>
        </xdr:cNvCxnSpPr>
      </xdr:nvCxnSpPr>
      <xdr:spPr bwMode="auto">
        <a:xfrm>
          <a:off x="9258300" y="2905125"/>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19050</xdr:colOff>
      <xdr:row>26</xdr:row>
      <xdr:rowOff>142875</xdr:rowOff>
    </xdr:from>
    <xdr:to>
      <xdr:col>11</xdr:col>
      <xdr:colOff>257175</xdr:colOff>
      <xdr:row>26</xdr:row>
      <xdr:rowOff>142875</xdr:rowOff>
    </xdr:to>
    <xdr:cxnSp macro="">
      <xdr:nvCxnSpPr>
        <xdr:cNvPr id="28612" name="Straight Connector 41"/>
        <xdr:cNvCxnSpPr>
          <a:cxnSpLocks noChangeShapeType="1"/>
        </xdr:cNvCxnSpPr>
      </xdr:nvCxnSpPr>
      <xdr:spPr bwMode="auto">
        <a:xfrm>
          <a:off x="9258300" y="76200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257175</xdr:colOff>
      <xdr:row>10</xdr:row>
      <xdr:rowOff>152400</xdr:rowOff>
    </xdr:from>
    <xdr:to>
      <xdr:col>11</xdr:col>
      <xdr:colOff>257175</xdr:colOff>
      <xdr:row>26</xdr:row>
      <xdr:rowOff>142875</xdr:rowOff>
    </xdr:to>
    <xdr:cxnSp macro="">
      <xdr:nvCxnSpPr>
        <xdr:cNvPr id="28613" name="Straight Connector 59"/>
        <xdr:cNvCxnSpPr>
          <a:cxnSpLocks noChangeShapeType="1"/>
        </xdr:cNvCxnSpPr>
      </xdr:nvCxnSpPr>
      <xdr:spPr bwMode="auto">
        <a:xfrm rot="5400000">
          <a:off x="7138987" y="5262563"/>
          <a:ext cx="47148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238125</xdr:colOff>
      <xdr:row>50</xdr:row>
      <xdr:rowOff>142875</xdr:rowOff>
    </xdr:from>
    <xdr:to>
      <xdr:col>19</xdr:col>
      <xdr:colOff>447675</xdr:colOff>
      <xdr:row>50</xdr:row>
      <xdr:rowOff>142875</xdr:rowOff>
    </xdr:to>
    <xdr:cxnSp macro="">
      <xdr:nvCxnSpPr>
        <xdr:cNvPr id="28614" name="Straight Connector 44"/>
        <xdr:cNvCxnSpPr>
          <a:cxnSpLocks noChangeShapeType="1"/>
        </xdr:cNvCxnSpPr>
      </xdr:nvCxnSpPr>
      <xdr:spPr bwMode="auto">
        <a:xfrm>
          <a:off x="14344650" y="14706600"/>
          <a:ext cx="8667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28575</xdr:colOff>
      <xdr:row>68</xdr:row>
      <xdr:rowOff>180975</xdr:rowOff>
    </xdr:from>
    <xdr:to>
      <xdr:col>2</xdr:col>
      <xdr:colOff>457200</xdr:colOff>
      <xdr:row>70</xdr:row>
      <xdr:rowOff>180975</xdr:rowOff>
    </xdr:to>
    <xdr:grpSp>
      <xdr:nvGrpSpPr>
        <xdr:cNvPr id="28615" name="Group 137"/>
        <xdr:cNvGrpSpPr>
          <a:grpSpLocks/>
        </xdr:cNvGrpSpPr>
      </xdr:nvGrpSpPr>
      <xdr:grpSpPr bwMode="auto">
        <a:xfrm>
          <a:off x="1984375" y="19853275"/>
          <a:ext cx="428625" cy="584200"/>
          <a:chOff x="197" y="863"/>
          <a:chExt cx="45" cy="62"/>
        </a:xfrm>
      </xdr:grpSpPr>
      <xdr:cxnSp macro="">
        <xdr:nvCxnSpPr>
          <xdr:cNvPr id="35935"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36"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37"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38"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47625</xdr:colOff>
      <xdr:row>72</xdr:row>
      <xdr:rowOff>152400</xdr:rowOff>
    </xdr:from>
    <xdr:to>
      <xdr:col>2</xdr:col>
      <xdr:colOff>466725</xdr:colOff>
      <xdr:row>74</xdr:row>
      <xdr:rowOff>152400</xdr:rowOff>
    </xdr:to>
    <xdr:grpSp>
      <xdr:nvGrpSpPr>
        <xdr:cNvPr id="28616" name="Group 142"/>
        <xdr:cNvGrpSpPr>
          <a:grpSpLocks/>
        </xdr:cNvGrpSpPr>
      </xdr:nvGrpSpPr>
      <xdr:grpSpPr bwMode="auto">
        <a:xfrm>
          <a:off x="2003425" y="20993100"/>
          <a:ext cx="419100" cy="584200"/>
          <a:chOff x="197" y="863"/>
          <a:chExt cx="45" cy="62"/>
        </a:xfrm>
      </xdr:grpSpPr>
      <xdr:cxnSp macro="">
        <xdr:nvCxnSpPr>
          <xdr:cNvPr id="35931"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32"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33"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34"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47625</xdr:colOff>
      <xdr:row>63</xdr:row>
      <xdr:rowOff>142875</xdr:rowOff>
    </xdr:from>
    <xdr:to>
      <xdr:col>5</xdr:col>
      <xdr:colOff>466725</xdr:colOff>
      <xdr:row>65</xdr:row>
      <xdr:rowOff>142875</xdr:rowOff>
    </xdr:to>
    <xdr:grpSp>
      <xdr:nvGrpSpPr>
        <xdr:cNvPr id="28617" name="Group 147"/>
        <xdr:cNvGrpSpPr>
          <a:grpSpLocks/>
        </xdr:cNvGrpSpPr>
      </xdr:nvGrpSpPr>
      <xdr:grpSpPr bwMode="auto">
        <a:xfrm>
          <a:off x="4441825" y="18354675"/>
          <a:ext cx="419100" cy="584200"/>
          <a:chOff x="197" y="863"/>
          <a:chExt cx="45" cy="62"/>
        </a:xfrm>
      </xdr:grpSpPr>
      <xdr:cxnSp macro="">
        <xdr:nvCxnSpPr>
          <xdr:cNvPr id="35927"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28"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29"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30"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47625</xdr:colOff>
      <xdr:row>67</xdr:row>
      <xdr:rowOff>180975</xdr:rowOff>
    </xdr:from>
    <xdr:to>
      <xdr:col>5</xdr:col>
      <xdr:colOff>466725</xdr:colOff>
      <xdr:row>69</xdr:row>
      <xdr:rowOff>180975</xdr:rowOff>
    </xdr:to>
    <xdr:grpSp>
      <xdr:nvGrpSpPr>
        <xdr:cNvPr id="28618" name="Group 152"/>
        <xdr:cNvGrpSpPr>
          <a:grpSpLocks/>
        </xdr:cNvGrpSpPr>
      </xdr:nvGrpSpPr>
      <xdr:grpSpPr bwMode="auto">
        <a:xfrm>
          <a:off x="4441825" y="19561175"/>
          <a:ext cx="419100" cy="584200"/>
          <a:chOff x="197" y="863"/>
          <a:chExt cx="45" cy="62"/>
        </a:xfrm>
      </xdr:grpSpPr>
      <xdr:cxnSp macro="">
        <xdr:nvCxnSpPr>
          <xdr:cNvPr id="35923"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24"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25"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26"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47625</xdr:colOff>
      <xdr:row>71</xdr:row>
      <xdr:rowOff>142875</xdr:rowOff>
    </xdr:from>
    <xdr:to>
      <xdr:col>5</xdr:col>
      <xdr:colOff>466725</xdr:colOff>
      <xdr:row>73</xdr:row>
      <xdr:rowOff>142875</xdr:rowOff>
    </xdr:to>
    <xdr:grpSp>
      <xdr:nvGrpSpPr>
        <xdr:cNvPr id="28619" name="Group 157"/>
        <xdr:cNvGrpSpPr>
          <a:grpSpLocks/>
        </xdr:cNvGrpSpPr>
      </xdr:nvGrpSpPr>
      <xdr:grpSpPr bwMode="auto">
        <a:xfrm>
          <a:off x="4441825" y="20691475"/>
          <a:ext cx="419100" cy="584200"/>
          <a:chOff x="197" y="863"/>
          <a:chExt cx="45" cy="62"/>
        </a:xfrm>
      </xdr:grpSpPr>
      <xdr:cxnSp macro="">
        <xdr:nvCxnSpPr>
          <xdr:cNvPr id="35919"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20"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21"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22"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47625</xdr:colOff>
      <xdr:row>70</xdr:row>
      <xdr:rowOff>161925</xdr:rowOff>
    </xdr:from>
    <xdr:to>
      <xdr:col>8</xdr:col>
      <xdr:colOff>466725</xdr:colOff>
      <xdr:row>72</xdr:row>
      <xdr:rowOff>161925</xdr:rowOff>
    </xdr:to>
    <xdr:grpSp>
      <xdr:nvGrpSpPr>
        <xdr:cNvPr id="28620" name="Group 162"/>
        <xdr:cNvGrpSpPr>
          <a:grpSpLocks/>
        </xdr:cNvGrpSpPr>
      </xdr:nvGrpSpPr>
      <xdr:grpSpPr bwMode="auto">
        <a:xfrm>
          <a:off x="6880225" y="20418425"/>
          <a:ext cx="419100" cy="584200"/>
          <a:chOff x="197" y="863"/>
          <a:chExt cx="45" cy="62"/>
        </a:xfrm>
      </xdr:grpSpPr>
      <xdr:cxnSp macro="">
        <xdr:nvCxnSpPr>
          <xdr:cNvPr id="35915"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16"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17"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918"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11</xdr:col>
      <xdr:colOff>238125</xdr:colOff>
      <xdr:row>55</xdr:row>
      <xdr:rowOff>152400</xdr:rowOff>
    </xdr:from>
    <xdr:to>
      <xdr:col>11</xdr:col>
      <xdr:colOff>457200</xdr:colOff>
      <xdr:row>55</xdr:row>
      <xdr:rowOff>152400</xdr:rowOff>
    </xdr:to>
    <xdr:cxnSp macro="">
      <xdr:nvCxnSpPr>
        <xdr:cNvPr id="28621" name="Straight Connector 44"/>
        <xdr:cNvCxnSpPr>
          <a:cxnSpLocks noChangeShapeType="1"/>
        </xdr:cNvCxnSpPr>
      </xdr:nvCxnSpPr>
      <xdr:spPr bwMode="auto">
        <a:xfrm>
          <a:off x="9477375" y="16192500"/>
          <a:ext cx="219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28575</xdr:colOff>
      <xdr:row>52</xdr:row>
      <xdr:rowOff>142875</xdr:rowOff>
    </xdr:from>
    <xdr:to>
      <xdr:col>11</xdr:col>
      <xdr:colOff>276225</xdr:colOff>
      <xdr:row>52</xdr:row>
      <xdr:rowOff>142875</xdr:rowOff>
    </xdr:to>
    <xdr:cxnSp macro="">
      <xdr:nvCxnSpPr>
        <xdr:cNvPr id="28622" name="Straight Connector 40"/>
        <xdr:cNvCxnSpPr>
          <a:cxnSpLocks noChangeShapeType="1"/>
        </xdr:cNvCxnSpPr>
      </xdr:nvCxnSpPr>
      <xdr:spPr bwMode="auto">
        <a:xfrm>
          <a:off x="9267825" y="15297150"/>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257175</xdr:colOff>
      <xdr:row>52</xdr:row>
      <xdr:rowOff>142875</xdr:rowOff>
    </xdr:from>
    <xdr:to>
      <xdr:col>11</xdr:col>
      <xdr:colOff>257175</xdr:colOff>
      <xdr:row>58</xdr:row>
      <xdr:rowOff>142875</xdr:rowOff>
    </xdr:to>
    <xdr:cxnSp macro="">
      <xdr:nvCxnSpPr>
        <xdr:cNvPr id="28623" name="Straight Connector 59"/>
        <xdr:cNvCxnSpPr>
          <a:cxnSpLocks noChangeShapeType="1"/>
        </xdr:cNvCxnSpPr>
      </xdr:nvCxnSpPr>
      <xdr:spPr bwMode="auto">
        <a:xfrm rot="5400000">
          <a:off x="8610600" y="16182975"/>
          <a:ext cx="1771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19050</xdr:colOff>
      <xdr:row>27</xdr:row>
      <xdr:rowOff>152400</xdr:rowOff>
    </xdr:from>
    <xdr:to>
      <xdr:col>3</xdr:col>
      <xdr:colOff>0</xdr:colOff>
      <xdr:row>29</xdr:row>
      <xdr:rowOff>152400</xdr:rowOff>
    </xdr:to>
    <xdr:grpSp>
      <xdr:nvGrpSpPr>
        <xdr:cNvPr id="28624" name="Group 172"/>
        <xdr:cNvGrpSpPr>
          <a:grpSpLocks/>
        </xdr:cNvGrpSpPr>
      </xdr:nvGrpSpPr>
      <xdr:grpSpPr bwMode="auto">
        <a:xfrm>
          <a:off x="1974850" y="7848600"/>
          <a:ext cx="463550" cy="584200"/>
          <a:chOff x="205" y="88"/>
          <a:chExt cx="48" cy="62"/>
        </a:xfrm>
      </xdr:grpSpPr>
      <xdr:cxnSp macro="">
        <xdr:nvCxnSpPr>
          <xdr:cNvPr id="35911"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12"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13"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14"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31</xdr:row>
      <xdr:rowOff>152400</xdr:rowOff>
    </xdr:from>
    <xdr:to>
      <xdr:col>3</xdr:col>
      <xdr:colOff>0</xdr:colOff>
      <xdr:row>33</xdr:row>
      <xdr:rowOff>152400</xdr:rowOff>
    </xdr:to>
    <xdr:grpSp>
      <xdr:nvGrpSpPr>
        <xdr:cNvPr id="28625" name="Group 177"/>
        <xdr:cNvGrpSpPr>
          <a:grpSpLocks/>
        </xdr:cNvGrpSpPr>
      </xdr:nvGrpSpPr>
      <xdr:grpSpPr bwMode="auto">
        <a:xfrm>
          <a:off x="1974850" y="9017000"/>
          <a:ext cx="463550" cy="584200"/>
          <a:chOff x="205" y="88"/>
          <a:chExt cx="48" cy="62"/>
        </a:xfrm>
      </xdr:grpSpPr>
      <xdr:cxnSp macro="">
        <xdr:nvCxnSpPr>
          <xdr:cNvPr id="35907"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08"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09"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10"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35</xdr:row>
      <xdr:rowOff>161925</xdr:rowOff>
    </xdr:from>
    <xdr:to>
      <xdr:col>3</xdr:col>
      <xdr:colOff>0</xdr:colOff>
      <xdr:row>37</xdr:row>
      <xdr:rowOff>161925</xdr:rowOff>
    </xdr:to>
    <xdr:grpSp>
      <xdr:nvGrpSpPr>
        <xdr:cNvPr id="28626" name="Group 182"/>
        <xdr:cNvGrpSpPr>
          <a:grpSpLocks/>
        </xdr:cNvGrpSpPr>
      </xdr:nvGrpSpPr>
      <xdr:grpSpPr bwMode="auto">
        <a:xfrm>
          <a:off x="1974850" y="10194925"/>
          <a:ext cx="463550" cy="584200"/>
          <a:chOff x="205" y="88"/>
          <a:chExt cx="48" cy="62"/>
        </a:xfrm>
      </xdr:grpSpPr>
      <xdr:cxnSp macro="">
        <xdr:nvCxnSpPr>
          <xdr:cNvPr id="35903"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04"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05"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06"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39</xdr:row>
      <xdr:rowOff>152400</xdr:rowOff>
    </xdr:from>
    <xdr:to>
      <xdr:col>3</xdr:col>
      <xdr:colOff>0</xdr:colOff>
      <xdr:row>41</xdr:row>
      <xdr:rowOff>152400</xdr:rowOff>
    </xdr:to>
    <xdr:grpSp>
      <xdr:nvGrpSpPr>
        <xdr:cNvPr id="28627" name="Group 187"/>
        <xdr:cNvGrpSpPr>
          <a:grpSpLocks/>
        </xdr:cNvGrpSpPr>
      </xdr:nvGrpSpPr>
      <xdr:grpSpPr bwMode="auto">
        <a:xfrm>
          <a:off x="1974850" y="11353800"/>
          <a:ext cx="463550" cy="584200"/>
          <a:chOff x="205" y="88"/>
          <a:chExt cx="48" cy="62"/>
        </a:xfrm>
      </xdr:grpSpPr>
      <xdr:cxnSp macro="">
        <xdr:nvCxnSpPr>
          <xdr:cNvPr id="35899"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00"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01"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902"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43</xdr:row>
      <xdr:rowOff>142875</xdr:rowOff>
    </xdr:from>
    <xdr:to>
      <xdr:col>3</xdr:col>
      <xdr:colOff>0</xdr:colOff>
      <xdr:row>45</xdr:row>
      <xdr:rowOff>142875</xdr:rowOff>
    </xdr:to>
    <xdr:grpSp>
      <xdr:nvGrpSpPr>
        <xdr:cNvPr id="28628" name="Group 192"/>
        <xdr:cNvGrpSpPr>
          <a:grpSpLocks/>
        </xdr:cNvGrpSpPr>
      </xdr:nvGrpSpPr>
      <xdr:grpSpPr bwMode="auto">
        <a:xfrm>
          <a:off x="1974850" y="12512675"/>
          <a:ext cx="463550" cy="584200"/>
          <a:chOff x="205" y="88"/>
          <a:chExt cx="48" cy="62"/>
        </a:xfrm>
      </xdr:grpSpPr>
      <xdr:cxnSp macro="">
        <xdr:nvCxnSpPr>
          <xdr:cNvPr id="35895"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96"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97"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98"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47</xdr:row>
      <xdr:rowOff>161925</xdr:rowOff>
    </xdr:from>
    <xdr:to>
      <xdr:col>3</xdr:col>
      <xdr:colOff>0</xdr:colOff>
      <xdr:row>49</xdr:row>
      <xdr:rowOff>161925</xdr:rowOff>
    </xdr:to>
    <xdr:grpSp>
      <xdr:nvGrpSpPr>
        <xdr:cNvPr id="28629" name="Group 197"/>
        <xdr:cNvGrpSpPr>
          <a:grpSpLocks/>
        </xdr:cNvGrpSpPr>
      </xdr:nvGrpSpPr>
      <xdr:grpSpPr bwMode="auto">
        <a:xfrm>
          <a:off x="1974850" y="13700125"/>
          <a:ext cx="463550" cy="584200"/>
          <a:chOff x="205" y="88"/>
          <a:chExt cx="48" cy="62"/>
        </a:xfrm>
      </xdr:grpSpPr>
      <xdr:cxnSp macro="">
        <xdr:nvCxnSpPr>
          <xdr:cNvPr id="35891"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92"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93"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94"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19050</xdr:colOff>
      <xdr:row>28</xdr:row>
      <xdr:rowOff>161925</xdr:rowOff>
    </xdr:from>
    <xdr:to>
      <xdr:col>6</xdr:col>
      <xdr:colOff>0</xdr:colOff>
      <xdr:row>32</xdr:row>
      <xdr:rowOff>161925</xdr:rowOff>
    </xdr:to>
    <xdr:grpSp>
      <xdr:nvGrpSpPr>
        <xdr:cNvPr id="28630" name="Group 202"/>
        <xdr:cNvGrpSpPr>
          <a:grpSpLocks/>
        </xdr:cNvGrpSpPr>
      </xdr:nvGrpSpPr>
      <xdr:grpSpPr bwMode="auto">
        <a:xfrm>
          <a:off x="4413250" y="8150225"/>
          <a:ext cx="463550" cy="1168400"/>
          <a:chOff x="205" y="88"/>
          <a:chExt cx="48" cy="62"/>
        </a:xfrm>
      </xdr:grpSpPr>
      <xdr:cxnSp macro="">
        <xdr:nvCxnSpPr>
          <xdr:cNvPr id="35887"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88"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89"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90"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19050</xdr:colOff>
      <xdr:row>36</xdr:row>
      <xdr:rowOff>161925</xdr:rowOff>
    </xdr:from>
    <xdr:to>
      <xdr:col>6</xdr:col>
      <xdr:colOff>0</xdr:colOff>
      <xdr:row>40</xdr:row>
      <xdr:rowOff>161925</xdr:rowOff>
    </xdr:to>
    <xdr:grpSp>
      <xdr:nvGrpSpPr>
        <xdr:cNvPr id="28631" name="Group 207"/>
        <xdr:cNvGrpSpPr>
          <a:grpSpLocks/>
        </xdr:cNvGrpSpPr>
      </xdr:nvGrpSpPr>
      <xdr:grpSpPr bwMode="auto">
        <a:xfrm>
          <a:off x="4413250" y="10487025"/>
          <a:ext cx="463550" cy="1168400"/>
          <a:chOff x="205" y="88"/>
          <a:chExt cx="48" cy="62"/>
        </a:xfrm>
      </xdr:grpSpPr>
      <xdr:cxnSp macro="">
        <xdr:nvCxnSpPr>
          <xdr:cNvPr id="35883"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84"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85"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86"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257175</xdr:colOff>
      <xdr:row>46</xdr:row>
      <xdr:rowOff>161925</xdr:rowOff>
    </xdr:from>
    <xdr:to>
      <xdr:col>5</xdr:col>
      <xdr:colOff>447675</xdr:colOff>
      <xdr:row>46</xdr:row>
      <xdr:rowOff>161925</xdr:rowOff>
    </xdr:to>
    <xdr:cxnSp macro="">
      <xdr:nvCxnSpPr>
        <xdr:cNvPr id="28632" name="Straight Connector 44"/>
        <xdr:cNvCxnSpPr>
          <a:cxnSpLocks noChangeShapeType="1"/>
        </xdr:cNvCxnSpPr>
      </xdr:nvCxnSpPr>
      <xdr:spPr bwMode="auto">
        <a:xfrm>
          <a:off x="4638675" y="13544550"/>
          <a:ext cx="1905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44</xdr:row>
      <xdr:rowOff>161925</xdr:rowOff>
    </xdr:from>
    <xdr:to>
      <xdr:col>5</xdr:col>
      <xdr:colOff>266700</xdr:colOff>
      <xdr:row>44</xdr:row>
      <xdr:rowOff>161925</xdr:rowOff>
    </xdr:to>
    <xdr:cxnSp macro="">
      <xdr:nvCxnSpPr>
        <xdr:cNvPr id="28633" name="Straight Connector 40"/>
        <xdr:cNvCxnSpPr>
          <a:cxnSpLocks noChangeShapeType="1"/>
        </xdr:cNvCxnSpPr>
      </xdr:nvCxnSpPr>
      <xdr:spPr bwMode="auto">
        <a:xfrm>
          <a:off x="4400550" y="12954000"/>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48</xdr:row>
      <xdr:rowOff>161925</xdr:rowOff>
    </xdr:from>
    <xdr:to>
      <xdr:col>5</xdr:col>
      <xdr:colOff>257175</xdr:colOff>
      <xdr:row>48</xdr:row>
      <xdr:rowOff>161925</xdr:rowOff>
    </xdr:to>
    <xdr:cxnSp macro="">
      <xdr:nvCxnSpPr>
        <xdr:cNvPr id="28634" name="Straight Connector 41"/>
        <xdr:cNvCxnSpPr>
          <a:cxnSpLocks noChangeShapeType="1"/>
        </xdr:cNvCxnSpPr>
      </xdr:nvCxnSpPr>
      <xdr:spPr bwMode="auto">
        <a:xfrm>
          <a:off x="4400550" y="141351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44</xdr:row>
      <xdr:rowOff>161925</xdr:rowOff>
    </xdr:from>
    <xdr:to>
      <xdr:col>5</xdr:col>
      <xdr:colOff>257175</xdr:colOff>
      <xdr:row>48</xdr:row>
      <xdr:rowOff>161925</xdr:rowOff>
    </xdr:to>
    <xdr:cxnSp macro="">
      <xdr:nvCxnSpPr>
        <xdr:cNvPr id="28635" name="Straight Connector 59"/>
        <xdr:cNvCxnSpPr>
          <a:cxnSpLocks noChangeShapeType="1"/>
        </xdr:cNvCxnSpPr>
      </xdr:nvCxnSpPr>
      <xdr:spPr bwMode="auto">
        <a:xfrm rot="5400000">
          <a:off x="4048125" y="13544550"/>
          <a:ext cx="11811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42</xdr:row>
      <xdr:rowOff>152400</xdr:rowOff>
    </xdr:from>
    <xdr:to>
      <xdr:col>11</xdr:col>
      <xdr:colOff>457200</xdr:colOff>
      <xdr:row>42</xdr:row>
      <xdr:rowOff>152400</xdr:rowOff>
    </xdr:to>
    <xdr:cxnSp macro="">
      <xdr:nvCxnSpPr>
        <xdr:cNvPr id="28636" name="Straight Connector 44"/>
        <xdr:cNvCxnSpPr>
          <a:cxnSpLocks noChangeShapeType="1"/>
        </xdr:cNvCxnSpPr>
      </xdr:nvCxnSpPr>
      <xdr:spPr bwMode="auto">
        <a:xfrm>
          <a:off x="7067550" y="12353925"/>
          <a:ext cx="26289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38</xdr:row>
      <xdr:rowOff>142875</xdr:rowOff>
    </xdr:from>
    <xdr:to>
      <xdr:col>8</xdr:col>
      <xdr:colOff>266700</xdr:colOff>
      <xdr:row>38</xdr:row>
      <xdr:rowOff>142875</xdr:rowOff>
    </xdr:to>
    <xdr:cxnSp macro="">
      <xdr:nvCxnSpPr>
        <xdr:cNvPr id="28637" name="Straight Connector 40"/>
        <xdr:cNvCxnSpPr>
          <a:cxnSpLocks noChangeShapeType="1"/>
        </xdr:cNvCxnSpPr>
      </xdr:nvCxnSpPr>
      <xdr:spPr bwMode="auto">
        <a:xfrm>
          <a:off x="6829425" y="11163300"/>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46</xdr:row>
      <xdr:rowOff>161925</xdr:rowOff>
    </xdr:from>
    <xdr:to>
      <xdr:col>8</xdr:col>
      <xdr:colOff>257175</xdr:colOff>
      <xdr:row>46</xdr:row>
      <xdr:rowOff>161925</xdr:rowOff>
    </xdr:to>
    <xdr:cxnSp macro="">
      <xdr:nvCxnSpPr>
        <xdr:cNvPr id="28638" name="Straight Connector 41"/>
        <xdr:cNvCxnSpPr>
          <a:cxnSpLocks noChangeShapeType="1"/>
        </xdr:cNvCxnSpPr>
      </xdr:nvCxnSpPr>
      <xdr:spPr bwMode="auto">
        <a:xfrm>
          <a:off x="6829425" y="1354455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38</xdr:row>
      <xdr:rowOff>142875</xdr:rowOff>
    </xdr:from>
    <xdr:to>
      <xdr:col>8</xdr:col>
      <xdr:colOff>257175</xdr:colOff>
      <xdr:row>46</xdr:row>
      <xdr:rowOff>161925</xdr:rowOff>
    </xdr:to>
    <xdr:cxnSp macro="">
      <xdr:nvCxnSpPr>
        <xdr:cNvPr id="28639" name="Straight Connector 59"/>
        <xdr:cNvCxnSpPr>
          <a:cxnSpLocks noChangeShapeType="1"/>
        </xdr:cNvCxnSpPr>
      </xdr:nvCxnSpPr>
      <xdr:spPr bwMode="auto">
        <a:xfrm rot="5400000">
          <a:off x="5876925" y="12353925"/>
          <a:ext cx="23812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22</xdr:row>
      <xdr:rowOff>123825</xdr:rowOff>
    </xdr:from>
    <xdr:to>
      <xdr:col>9</xdr:col>
      <xdr:colOff>9525</xdr:colOff>
      <xdr:row>30</xdr:row>
      <xdr:rowOff>142875</xdr:rowOff>
    </xdr:to>
    <xdr:grpSp>
      <xdr:nvGrpSpPr>
        <xdr:cNvPr id="28640" name="Group 224"/>
        <xdr:cNvGrpSpPr>
          <a:grpSpLocks/>
        </xdr:cNvGrpSpPr>
      </xdr:nvGrpSpPr>
      <xdr:grpSpPr bwMode="auto">
        <a:xfrm>
          <a:off x="6861175" y="6359525"/>
          <a:ext cx="463550" cy="2355850"/>
          <a:chOff x="205" y="88"/>
          <a:chExt cx="48" cy="62"/>
        </a:xfrm>
      </xdr:grpSpPr>
      <xdr:cxnSp macro="">
        <xdr:nvCxnSpPr>
          <xdr:cNvPr id="35879"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80"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81"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5882"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17</xdr:col>
      <xdr:colOff>238125</xdr:colOff>
      <xdr:row>47</xdr:row>
      <xdr:rowOff>152400</xdr:rowOff>
    </xdr:from>
    <xdr:to>
      <xdr:col>19</xdr:col>
      <xdr:colOff>466725</xdr:colOff>
      <xdr:row>47</xdr:row>
      <xdr:rowOff>152400</xdr:rowOff>
    </xdr:to>
    <xdr:cxnSp macro="">
      <xdr:nvCxnSpPr>
        <xdr:cNvPr id="28641" name="Straight Connector 44"/>
        <xdr:cNvCxnSpPr>
          <a:cxnSpLocks noChangeShapeType="1"/>
        </xdr:cNvCxnSpPr>
      </xdr:nvCxnSpPr>
      <xdr:spPr bwMode="auto">
        <a:xfrm>
          <a:off x="14344650" y="13830300"/>
          <a:ext cx="8858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47625</xdr:colOff>
      <xdr:row>17</xdr:row>
      <xdr:rowOff>152400</xdr:rowOff>
    </xdr:from>
    <xdr:to>
      <xdr:col>14</xdr:col>
      <xdr:colOff>295275</xdr:colOff>
      <xdr:row>17</xdr:row>
      <xdr:rowOff>152400</xdr:rowOff>
    </xdr:to>
    <xdr:cxnSp macro="">
      <xdr:nvCxnSpPr>
        <xdr:cNvPr id="28642" name="Straight Connector 40"/>
        <xdr:cNvCxnSpPr>
          <a:cxnSpLocks noChangeShapeType="1"/>
        </xdr:cNvCxnSpPr>
      </xdr:nvCxnSpPr>
      <xdr:spPr bwMode="auto">
        <a:xfrm>
          <a:off x="11715750" y="4972050"/>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47625</xdr:colOff>
      <xdr:row>42</xdr:row>
      <xdr:rowOff>142875</xdr:rowOff>
    </xdr:from>
    <xdr:to>
      <xdr:col>14</xdr:col>
      <xdr:colOff>285750</xdr:colOff>
      <xdr:row>42</xdr:row>
      <xdr:rowOff>142875</xdr:rowOff>
    </xdr:to>
    <xdr:cxnSp macro="">
      <xdr:nvCxnSpPr>
        <xdr:cNvPr id="28643" name="Straight Connector 41"/>
        <xdr:cNvCxnSpPr>
          <a:cxnSpLocks noChangeShapeType="1"/>
        </xdr:cNvCxnSpPr>
      </xdr:nvCxnSpPr>
      <xdr:spPr bwMode="auto">
        <a:xfrm>
          <a:off x="11715750" y="123444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266700</xdr:colOff>
      <xdr:row>17</xdr:row>
      <xdr:rowOff>152400</xdr:rowOff>
    </xdr:from>
    <xdr:to>
      <xdr:col>14</xdr:col>
      <xdr:colOff>266700</xdr:colOff>
      <xdr:row>47</xdr:row>
      <xdr:rowOff>161925</xdr:rowOff>
    </xdr:to>
    <xdr:cxnSp macro="">
      <xdr:nvCxnSpPr>
        <xdr:cNvPr id="28644" name="Straight Connector 59"/>
        <xdr:cNvCxnSpPr>
          <a:cxnSpLocks noChangeShapeType="1"/>
        </xdr:cNvCxnSpPr>
      </xdr:nvCxnSpPr>
      <xdr:spPr bwMode="auto">
        <a:xfrm rot="5400000">
          <a:off x="7500937" y="9405938"/>
          <a:ext cx="88677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28575</xdr:colOff>
      <xdr:row>52</xdr:row>
      <xdr:rowOff>152400</xdr:rowOff>
    </xdr:from>
    <xdr:to>
      <xdr:col>2</xdr:col>
      <xdr:colOff>457200</xdr:colOff>
      <xdr:row>54</xdr:row>
      <xdr:rowOff>152400</xdr:rowOff>
    </xdr:to>
    <xdr:grpSp>
      <xdr:nvGrpSpPr>
        <xdr:cNvPr id="28645" name="Group 234"/>
        <xdr:cNvGrpSpPr>
          <a:grpSpLocks/>
        </xdr:cNvGrpSpPr>
      </xdr:nvGrpSpPr>
      <xdr:grpSpPr bwMode="auto">
        <a:xfrm>
          <a:off x="1984375" y="15151100"/>
          <a:ext cx="428625" cy="584200"/>
          <a:chOff x="197" y="863"/>
          <a:chExt cx="45" cy="62"/>
        </a:xfrm>
      </xdr:grpSpPr>
      <xdr:cxnSp macro="">
        <xdr:nvCxnSpPr>
          <xdr:cNvPr id="35875"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76"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77"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78"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28575</xdr:colOff>
      <xdr:row>56</xdr:row>
      <xdr:rowOff>180975</xdr:rowOff>
    </xdr:from>
    <xdr:to>
      <xdr:col>2</xdr:col>
      <xdr:colOff>457200</xdr:colOff>
      <xdr:row>58</xdr:row>
      <xdr:rowOff>180975</xdr:rowOff>
    </xdr:to>
    <xdr:grpSp>
      <xdr:nvGrpSpPr>
        <xdr:cNvPr id="28646" name="Group 239"/>
        <xdr:cNvGrpSpPr>
          <a:grpSpLocks/>
        </xdr:cNvGrpSpPr>
      </xdr:nvGrpSpPr>
      <xdr:grpSpPr bwMode="auto">
        <a:xfrm>
          <a:off x="1984375" y="16348075"/>
          <a:ext cx="428625" cy="584200"/>
          <a:chOff x="197" y="863"/>
          <a:chExt cx="45" cy="62"/>
        </a:xfrm>
      </xdr:grpSpPr>
      <xdr:cxnSp macro="">
        <xdr:nvCxnSpPr>
          <xdr:cNvPr id="35871"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72"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73"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74"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47625</xdr:colOff>
      <xdr:row>60</xdr:row>
      <xdr:rowOff>152400</xdr:rowOff>
    </xdr:from>
    <xdr:to>
      <xdr:col>2</xdr:col>
      <xdr:colOff>466725</xdr:colOff>
      <xdr:row>62</xdr:row>
      <xdr:rowOff>152400</xdr:rowOff>
    </xdr:to>
    <xdr:grpSp>
      <xdr:nvGrpSpPr>
        <xdr:cNvPr id="28647" name="Group 244"/>
        <xdr:cNvGrpSpPr>
          <a:grpSpLocks/>
        </xdr:cNvGrpSpPr>
      </xdr:nvGrpSpPr>
      <xdr:grpSpPr bwMode="auto">
        <a:xfrm>
          <a:off x="2003425" y="17487900"/>
          <a:ext cx="419100" cy="584200"/>
          <a:chOff x="197" y="863"/>
          <a:chExt cx="45" cy="62"/>
        </a:xfrm>
      </xdr:grpSpPr>
      <xdr:cxnSp macro="">
        <xdr:nvCxnSpPr>
          <xdr:cNvPr id="35867"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68"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69"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70"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28575</xdr:colOff>
      <xdr:row>59</xdr:row>
      <xdr:rowOff>142875</xdr:rowOff>
    </xdr:from>
    <xdr:to>
      <xdr:col>5</xdr:col>
      <xdr:colOff>457200</xdr:colOff>
      <xdr:row>61</xdr:row>
      <xdr:rowOff>142875</xdr:rowOff>
    </xdr:to>
    <xdr:grpSp>
      <xdr:nvGrpSpPr>
        <xdr:cNvPr id="28648" name="Group 249"/>
        <xdr:cNvGrpSpPr>
          <a:grpSpLocks/>
        </xdr:cNvGrpSpPr>
      </xdr:nvGrpSpPr>
      <xdr:grpSpPr bwMode="auto">
        <a:xfrm>
          <a:off x="4422775" y="17186275"/>
          <a:ext cx="428625" cy="584200"/>
          <a:chOff x="197" y="863"/>
          <a:chExt cx="45" cy="62"/>
        </a:xfrm>
      </xdr:grpSpPr>
      <xdr:cxnSp macro="">
        <xdr:nvCxnSpPr>
          <xdr:cNvPr id="35863"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64"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65"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66"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47625</xdr:colOff>
      <xdr:row>55</xdr:row>
      <xdr:rowOff>142875</xdr:rowOff>
    </xdr:from>
    <xdr:to>
      <xdr:col>5</xdr:col>
      <xdr:colOff>466725</xdr:colOff>
      <xdr:row>57</xdr:row>
      <xdr:rowOff>142875</xdr:rowOff>
    </xdr:to>
    <xdr:grpSp>
      <xdr:nvGrpSpPr>
        <xdr:cNvPr id="28649" name="Group 254"/>
        <xdr:cNvGrpSpPr>
          <a:grpSpLocks/>
        </xdr:cNvGrpSpPr>
      </xdr:nvGrpSpPr>
      <xdr:grpSpPr bwMode="auto">
        <a:xfrm>
          <a:off x="4441825" y="16017875"/>
          <a:ext cx="419100" cy="584200"/>
          <a:chOff x="197" y="863"/>
          <a:chExt cx="45" cy="62"/>
        </a:xfrm>
      </xdr:grpSpPr>
      <xdr:cxnSp macro="">
        <xdr:nvCxnSpPr>
          <xdr:cNvPr id="35859"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60"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61"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62"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247650</xdr:colOff>
      <xdr:row>52</xdr:row>
      <xdr:rowOff>142875</xdr:rowOff>
    </xdr:from>
    <xdr:to>
      <xdr:col>8</xdr:col>
      <xdr:colOff>457200</xdr:colOff>
      <xdr:row>52</xdr:row>
      <xdr:rowOff>142875</xdr:rowOff>
    </xdr:to>
    <xdr:cxnSp macro="">
      <xdr:nvCxnSpPr>
        <xdr:cNvPr id="28650" name="Straight Connector 44"/>
        <xdr:cNvCxnSpPr>
          <a:cxnSpLocks noChangeShapeType="1"/>
        </xdr:cNvCxnSpPr>
      </xdr:nvCxnSpPr>
      <xdr:spPr bwMode="auto">
        <a:xfrm>
          <a:off x="4629150" y="15297150"/>
          <a:ext cx="26384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51</xdr:row>
      <xdr:rowOff>142875</xdr:rowOff>
    </xdr:from>
    <xdr:to>
      <xdr:col>5</xdr:col>
      <xdr:colOff>295275</xdr:colOff>
      <xdr:row>51</xdr:row>
      <xdr:rowOff>142875</xdr:rowOff>
    </xdr:to>
    <xdr:cxnSp macro="">
      <xdr:nvCxnSpPr>
        <xdr:cNvPr id="28651" name="Straight Connector 40"/>
        <xdr:cNvCxnSpPr>
          <a:cxnSpLocks noChangeShapeType="1"/>
        </xdr:cNvCxnSpPr>
      </xdr:nvCxnSpPr>
      <xdr:spPr bwMode="auto">
        <a:xfrm>
          <a:off x="4429125" y="15001875"/>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53</xdr:row>
      <xdr:rowOff>142875</xdr:rowOff>
    </xdr:from>
    <xdr:to>
      <xdr:col>5</xdr:col>
      <xdr:colOff>285750</xdr:colOff>
      <xdr:row>53</xdr:row>
      <xdr:rowOff>142875</xdr:rowOff>
    </xdr:to>
    <xdr:cxnSp macro="">
      <xdr:nvCxnSpPr>
        <xdr:cNvPr id="28652" name="Straight Connector 41"/>
        <xdr:cNvCxnSpPr>
          <a:cxnSpLocks noChangeShapeType="1"/>
        </xdr:cNvCxnSpPr>
      </xdr:nvCxnSpPr>
      <xdr:spPr bwMode="auto">
        <a:xfrm>
          <a:off x="4429125" y="1559242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266700</xdr:colOff>
      <xdr:row>51</xdr:row>
      <xdr:rowOff>142875</xdr:rowOff>
    </xdr:from>
    <xdr:to>
      <xdr:col>5</xdr:col>
      <xdr:colOff>266700</xdr:colOff>
      <xdr:row>53</xdr:row>
      <xdr:rowOff>142875</xdr:rowOff>
    </xdr:to>
    <xdr:cxnSp macro="">
      <xdr:nvCxnSpPr>
        <xdr:cNvPr id="28653" name="Straight Connector 59"/>
        <xdr:cNvCxnSpPr>
          <a:cxnSpLocks noChangeShapeType="1"/>
        </xdr:cNvCxnSpPr>
      </xdr:nvCxnSpPr>
      <xdr:spPr bwMode="auto">
        <a:xfrm rot="5400000">
          <a:off x="4352925" y="15297150"/>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47625</xdr:colOff>
      <xdr:row>66</xdr:row>
      <xdr:rowOff>142875</xdr:rowOff>
    </xdr:from>
    <xdr:to>
      <xdr:col>8</xdr:col>
      <xdr:colOff>466725</xdr:colOff>
      <xdr:row>68</xdr:row>
      <xdr:rowOff>142875</xdr:rowOff>
    </xdr:to>
    <xdr:grpSp>
      <xdr:nvGrpSpPr>
        <xdr:cNvPr id="28654" name="Group 264"/>
        <xdr:cNvGrpSpPr>
          <a:grpSpLocks/>
        </xdr:cNvGrpSpPr>
      </xdr:nvGrpSpPr>
      <xdr:grpSpPr bwMode="auto">
        <a:xfrm>
          <a:off x="6880225" y="19230975"/>
          <a:ext cx="419100" cy="584200"/>
          <a:chOff x="197" y="863"/>
          <a:chExt cx="45" cy="62"/>
        </a:xfrm>
      </xdr:grpSpPr>
      <xdr:cxnSp macro="">
        <xdr:nvCxnSpPr>
          <xdr:cNvPr id="35855"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56"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57"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58"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47625</xdr:colOff>
      <xdr:row>62</xdr:row>
      <xdr:rowOff>152400</xdr:rowOff>
    </xdr:from>
    <xdr:to>
      <xdr:col>9</xdr:col>
      <xdr:colOff>0</xdr:colOff>
      <xdr:row>64</xdr:row>
      <xdr:rowOff>152400</xdr:rowOff>
    </xdr:to>
    <xdr:grpSp>
      <xdr:nvGrpSpPr>
        <xdr:cNvPr id="28655" name="Group 269"/>
        <xdr:cNvGrpSpPr>
          <a:grpSpLocks/>
        </xdr:cNvGrpSpPr>
      </xdr:nvGrpSpPr>
      <xdr:grpSpPr bwMode="auto">
        <a:xfrm>
          <a:off x="6880225" y="18072100"/>
          <a:ext cx="434975" cy="584200"/>
          <a:chOff x="197" y="863"/>
          <a:chExt cx="45" cy="62"/>
        </a:xfrm>
      </xdr:grpSpPr>
      <xdr:cxnSp macro="">
        <xdr:nvCxnSpPr>
          <xdr:cNvPr id="35851"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52"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53"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54"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11</xdr:col>
      <xdr:colOff>47625</xdr:colOff>
      <xdr:row>63</xdr:row>
      <xdr:rowOff>142875</xdr:rowOff>
    </xdr:from>
    <xdr:to>
      <xdr:col>11</xdr:col>
      <xdr:colOff>457200</xdr:colOff>
      <xdr:row>67</xdr:row>
      <xdr:rowOff>142875</xdr:rowOff>
    </xdr:to>
    <xdr:grpSp>
      <xdr:nvGrpSpPr>
        <xdr:cNvPr id="28656" name="Group 331"/>
        <xdr:cNvGrpSpPr>
          <a:grpSpLocks/>
        </xdr:cNvGrpSpPr>
      </xdr:nvGrpSpPr>
      <xdr:grpSpPr bwMode="auto">
        <a:xfrm>
          <a:off x="9318625" y="18354675"/>
          <a:ext cx="409575" cy="1168400"/>
          <a:chOff x="973" y="2075"/>
          <a:chExt cx="44" cy="124"/>
        </a:xfrm>
      </xdr:grpSpPr>
      <xdr:cxnSp macro="">
        <xdr:nvCxnSpPr>
          <xdr:cNvPr id="35847" name="Straight Connector 44"/>
          <xdr:cNvCxnSpPr>
            <a:cxnSpLocks noChangeShapeType="1"/>
          </xdr:cNvCxnSpPr>
        </xdr:nvCxnSpPr>
        <xdr:spPr bwMode="auto">
          <a:xfrm>
            <a:off x="995" y="2137"/>
            <a:ext cx="2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48" name="Straight Connector 40"/>
          <xdr:cNvCxnSpPr>
            <a:cxnSpLocks noChangeShapeType="1"/>
          </xdr:cNvCxnSpPr>
        </xdr:nvCxnSpPr>
        <xdr:spPr bwMode="auto">
          <a:xfrm>
            <a:off x="973" y="2075"/>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49" name="Straight Connector 41"/>
          <xdr:cNvCxnSpPr>
            <a:cxnSpLocks noChangeShapeType="1"/>
          </xdr:cNvCxnSpPr>
        </xdr:nvCxnSpPr>
        <xdr:spPr bwMode="auto">
          <a:xfrm>
            <a:off x="973" y="2199"/>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50" name="Straight Connector 59"/>
          <xdr:cNvCxnSpPr>
            <a:cxnSpLocks noChangeShapeType="1"/>
          </xdr:cNvCxnSpPr>
        </xdr:nvCxnSpPr>
        <xdr:spPr bwMode="auto">
          <a:xfrm rot="5400000">
            <a:off x="935" y="2137"/>
            <a:ext cx="124"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14</xdr:col>
      <xdr:colOff>257175</xdr:colOff>
      <xdr:row>60</xdr:row>
      <xdr:rowOff>152400</xdr:rowOff>
    </xdr:from>
    <xdr:to>
      <xdr:col>15</xdr:col>
      <xdr:colOff>0</xdr:colOff>
      <xdr:row>60</xdr:row>
      <xdr:rowOff>152400</xdr:rowOff>
    </xdr:to>
    <xdr:cxnSp macro="">
      <xdr:nvCxnSpPr>
        <xdr:cNvPr id="28657" name="Straight Connector 44"/>
        <xdr:cNvCxnSpPr>
          <a:cxnSpLocks noChangeShapeType="1"/>
        </xdr:cNvCxnSpPr>
      </xdr:nvCxnSpPr>
      <xdr:spPr bwMode="auto">
        <a:xfrm>
          <a:off x="11925300" y="17668875"/>
          <a:ext cx="219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xdr:colOff>
      <xdr:row>55</xdr:row>
      <xdr:rowOff>161925</xdr:rowOff>
    </xdr:from>
    <xdr:to>
      <xdr:col>14</xdr:col>
      <xdr:colOff>257175</xdr:colOff>
      <xdr:row>55</xdr:row>
      <xdr:rowOff>161925</xdr:rowOff>
    </xdr:to>
    <xdr:cxnSp macro="">
      <xdr:nvCxnSpPr>
        <xdr:cNvPr id="28658" name="Straight Connector 40"/>
        <xdr:cNvCxnSpPr>
          <a:cxnSpLocks noChangeShapeType="1"/>
        </xdr:cNvCxnSpPr>
      </xdr:nvCxnSpPr>
      <xdr:spPr bwMode="auto">
        <a:xfrm>
          <a:off x="11696700" y="1620202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xdr:colOff>
      <xdr:row>65</xdr:row>
      <xdr:rowOff>152400</xdr:rowOff>
    </xdr:from>
    <xdr:to>
      <xdr:col>14</xdr:col>
      <xdr:colOff>266700</xdr:colOff>
      <xdr:row>65</xdr:row>
      <xdr:rowOff>152400</xdr:rowOff>
    </xdr:to>
    <xdr:cxnSp macro="">
      <xdr:nvCxnSpPr>
        <xdr:cNvPr id="28659" name="Straight Connector 41"/>
        <xdr:cNvCxnSpPr>
          <a:cxnSpLocks noChangeShapeType="1"/>
        </xdr:cNvCxnSpPr>
      </xdr:nvCxnSpPr>
      <xdr:spPr bwMode="auto">
        <a:xfrm>
          <a:off x="11696700" y="19145250"/>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247650</xdr:colOff>
      <xdr:row>55</xdr:row>
      <xdr:rowOff>161925</xdr:rowOff>
    </xdr:from>
    <xdr:to>
      <xdr:col>14</xdr:col>
      <xdr:colOff>247650</xdr:colOff>
      <xdr:row>65</xdr:row>
      <xdr:rowOff>152400</xdr:rowOff>
    </xdr:to>
    <xdr:cxnSp macro="">
      <xdr:nvCxnSpPr>
        <xdr:cNvPr id="28660" name="Straight Connector 59"/>
        <xdr:cNvCxnSpPr>
          <a:cxnSpLocks noChangeShapeType="1"/>
        </xdr:cNvCxnSpPr>
      </xdr:nvCxnSpPr>
      <xdr:spPr bwMode="auto">
        <a:xfrm rot="5400000">
          <a:off x="10444162" y="17673638"/>
          <a:ext cx="29432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28575</xdr:colOff>
      <xdr:row>60</xdr:row>
      <xdr:rowOff>152400</xdr:rowOff>
    </xdr:from>
    <xdr:to>
      <xdr:col>17</xdr:col>
      <xdr:colOff>276225</xdr:colOff>
      <xdr:row>60</xdr:row>
      <xdr:rowOff>152400</xdr:rowOff>
    </xdr:to>
    <xdr:cxnSp macro="">
      <xdr:nvCxnSpPr>
        <xdr:cNvPr id="28661" name="Straight Connector 40"/>
        <xdr:cNvCxnSpPr>
          <a:cxnSpLocks noChangeShapeType="1"/>
        </xdr:cNvCxnSpPr>
      </xdr:nvCxnSpPr>
      <xdr:spPr bwMode="auto">
        <a:xfrm>
          <a:off x="14135100" y="17668875"/>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19050</xdr:colOff>
      <xdr:row>71</xdr:row>
      <xdr:rowOff>152400</xdr:rowOff>
    </xdr:from>
    <xdr:to>
      <xdr:col>17</xdr:col>
      <xdr:colOff>276225</xdr:colOff>
      <xdr:row>71</xdr:row>
      <xdr:rowOff>152400</xdr:rowOff>
    </xdr:to>
    <xdr:cxnSp macro="">
      <xdr:nvCxnSpPr>
        <xdr:cNvPr id="28662" name="Straight Connector 41"/>
        <xdr:cNvCxnSpPr>
          <a:cxnSpLocks noChangeShapeType="1"/>
        </xdr:cNvCxnSpPr>
      </xdr:nvCxnSpPr>
      <xdr:spPr bwMode="auto">
        <a:xfrm>
          <a:off x="14125575" y="20916900"/>
          <a:ext cx="2571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257175</xdr:colOff>
      <xdr:row>50</xdr:row>
      <xdr:rowOff>123825</xdr:rowOff>
    </xdr:from>
    <xdr:to>
      <xdr:col>17</xdr:col>
      <xdr:colOff>257175</xdr:colOff>
      <xdr:row>71</xdr:row>
      <xdr:rowOff>152400</xdr:rowOff>
    </xdr:to>
    <xdr:cxnSp macro="">
      <xdr:nvCxnSpPr>
        <xdr:cNvPr id="28663" name="Straight Connector 59"/>
        <xdr:cNvCxnSpPr>
          <a:cxnSpLocks noChangeShapeType="1"/>
        </xdr:cNvCxnSpPr>
      </xdr:nvCxnSpPr>
      <xdr:spPr bwMode="auto">
        <a:xfrm rot="5400000">
          <a:off x="11249025" y="17802225"/>
          <a:ext cx="62293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295275</xdr:colOff>
      <xdr:row>47</xdr:row>
      <xdr:rowOff>152400</xdr:rowOff>
    </xdr:from>
    <xdr:to>
      <xdr:col>17</xdr:col>
      <xdr:colOff>238125</xdr:colOff>
      <xdr:row>47</xdr:row>
      <xdr:rowOff>152400</xdr:rowOff>
    </xdr:to>
    <xdr:cxnSp macro="">
      <xdr:nvCxnSpPr>
        <xdr:cNvPr id="28664" name="Straight Connector 41"/>
        <xdr:cNvCxnSpPr>
          <a:cxnSpLocks noChangeShapeType="1"/>
        </xdr:cNvCxnSpPr>
      </xdr:nvCxnSpPr>
      <xdr:spPr bwMode="auto">
        <a:xfrm>
          <a:off x="11963400" y="13830300"/>
          <a:ext cx="23812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47625</xdr:colOff>
      <xdr:row>70</xdr:row>
      <xdr:rowOff>142875</xdr:rowOff>
    </xdr:from>
    <xdr:to>
      <xdr:col>14</xdr:col>
      <xdr:colOff>457200</xdr:colOff>
      <xdr:row>72</xdr:row>
      <xdr:rowOff>161925</xdr:rowOff>
    </xdr:to>
    <xdr:grpSp>
      <xdr:nvGrpSpPr>
        <xdr:cNvPr id="28665" name="Group 334"/>
        <xdr:cNvGrpSpPr>
          <a:grpSpLocks/>
        </xdr:cNvGrpSpPr>
      </xdr:nvGrpSpPr>
      <xdr:grpSpPr bwMode="auto">
        <a:xfrm>
          <a:off x="11757025" y="20399375"/>
          <a:ext cx="409575" cy="603250"/>
          <a:chOff x="1228" y="2008"/>
          <a:chExt cx="48" cy="129"/>
        </a:xfrm>
      </xdr:grpSpPr>
      <xdr:cxnSp macro="">
        <xdr:nvCxnSpPr>
          <xdr:cNvPr id="35843" name="Straight Connector 44"/>
          <xdr:cNvCxnSpPr>
            <a:cxnSpLocks noChangeShapeType="1"/>
          </xdr:cNvCxnSpPr>
        </xdr:nvCxnSpPr>
        <xdr:spPr bwMode="auto">
          <a:xfrm>
            <a:off x="1253" y="2073"/>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44" name="Straight Connector 40"/>
          <xdr:cNvCxnSpPr>
            <a:cxnSpLocks noChangeShapeType="1"/>
          </xdr:cNvCxnSpPr>
        </xdr:nvCxnSpPr>
        <xdr:spPr bwMode="auto">
          <a:xfrm>
            <a:off x="1228" y="2008"/>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45" name="Straight Connector 41"/>
          <xdr:cNvCxnSpPr>
            <a:cxnSpLocks noChangeShapeType="1"/>
          </xdr:cNvCxnSpPr>
        </xdr:nvCxnSpPr>
        <xdr:spPr bwMode="auto">
          <a:xfrm>
            <a:off x="1228" y="2137"/>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46" name="Straight Connector 59"/>
          <xdr:cNvCxnSpPr>
            <a:cxnSpLocks noChangeShapeType="1"/>
          </xdr:cNvCxnSpPr>
        </xdr:nvCxnSpPr>
        <xdr:spPr bwMode="auto">
          <a:xfrm rot="5400000">
            <a:off x="1187" y="2073"/>
            <a:ext cx="129"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editAs="oneCell">
    <xdr:from>
      <xdr:col>15</xdr:col>
      <xdr:colOff>1495425</xdr:colOff>
      <xdr:row>23</xdr:row>
      <xdr:rowOff>66675</xdr:rowOff>
    </xdr:from>
    <xdr:to>
      <xdr:col>18</xdr:col>
      <xdr:colOff>266700</xdr:colOff>
      <xdr:row>27</xdr:row>
      <xdr:rowOff>276225</xdr:rowOff>
    </xdr:to>
    <xdr:pic>
      <xdr:nvPicPr>
        <xdr:cNvPr id="28666" name="Picture 3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39800" y="6657975"/>
          <a:ext cx="1066800" cy="1390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200025</xdr:colOff>
      <xdr:row>28</xdr:row>
      <xdr:rowOff>114300</xdr:rowOff>
    </xdr:from>
    <xdr:to>
      <xdr:col>18</xdr:col>
      <xdr:colOff>276225</xdr:colOff>
      <xdr:row>32</xdr:row>
      <xdr:rowOff>38100</xdr:rowOff>
    </xdr:to>
    <xdr:pic>
      <xdr:nvPicPr>
        <xdr:cNvPr id="28667" name="Picture 32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868400" y="8181975"/>
          <a:ext cx="8477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962025</xdr:colOff>
      <xdr:row>16</xdr:row>
      <xdr:rowOff>228600</xdr:rowOff>
    </xdr:from>
    <xdr:to>
      <xdr:col>18</xdr:col>
      <xdr:colOff>247650</xdr:colOff>
      <xdr:row>23</xdr:row>
      <xdr:rowOff>200025</xdr:rowOff>
    </xdr:to>
    <xdr:pic>
      <xdr:nvPicPr>
        <xdr:cNvPr id="28668" name="Picture 32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106400" y="4752975"/>
          <a:ext cx="1581150" cy="2038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47625</xdr:colOff>
      <xdr:row>71</xdr:row>
      <xdr:rowOff>142875</xdr:rowOff>
    </xdr:from>
    <xdr:to>
      <xdr:col>11</xdr:col>
      <xdr:colOff>466725</xdr:colOff>
      <xdr:row>73</xdr:row>
      <xdr:rowOff>142875</xdr:rowOff>
    </xdr:to>
    <xdr:grpSp>
      <xdr:nvGrpSpPr>
        <xdr:cNvPr id="28669" name="Group 326"/>
        <xdr:cNvGrpSpPr>
          <a:grpSpLocks/>
        </xdr:cNvGrpSpPr>
      </xdr:nvGrpSpPr>
      <xdr:grpSpPr bwMode="auto">
        <a:xfrm>
          <a:off x="9318625" y="20691475"/>
          <a:ext cx="419100" cy="584200"/>
          <a:chOff x="197" y="863"/>
          <a:chExt cx="45" cy="62"/>
        </a:xfrm>
      </xdr:grpSpPr>
      <xdr:cxnSp macro="">
        <xdr:nvCxnSpPr>
          <xdr:cNvPr id="28671"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40"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41"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5842"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11</xdr:col>
      <xdr:colOff>28575</xdr:colOff>
      <xdr:row>58</xdr:row>
      <xdr:rowOff>142875</xdr:rowOff>
    </xdr:from>
    <xdr:to>
      <xdr:col>11</xdr:col>
      <xdr:colOff>276225</xdr:colOff>
      <xdr:row>58</xdr:row>
      <xdr:rowOff>142875</xdr:rowOff>
    </xdr:to>
    <xdr:cxnSp macro="">
      <xdr:nvCxnSpPr>
        <xdr:cNvPr id="28670" name="Straight Connector 40"/>
        <xdr:cNvCxnSpPr>
          <a:cxnSpLocks noChangeShapeType="1"/>
        </xdr:cNvCxnSpPr>
      </xdr:nvCxnSpPr>
      <xdr:spPr bwMode="auto">
        <a:xfrm>
          <a:off x="9267825" y="17068800"/>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63</xdr:row>
      <xdr:rowOff>19050</xdr:rowOff>
    </xdr:from>
    <xdr:to>
      <xdr:col>23</xdr:col>
      <xdr:colOff>28575</xdr:colOff>
      <xdr:row>63</xdr:row>
      <xdr:rowOff>180975</xdr:rowOff>
    </xdr:to>
    <xdr:sp macro="" textlink="">
      <xdr:nvSpPr>
        <xdr:cNvPr id="29384" name="AutoShape 1"/>
        <xdr:cNvSpPr>
          <a:spLocks noChangeArrowheads="1"/>
        </xdr:cNvSpPr>
      </xdr:nvSpPr>
      <xdr:spPr bwMode="auto">
        <a:xfrm>
          <a:off x="0" y="18449925"/>
          <a:ext cx="17449800" cy="161925"/>
        </a:xfrm>
        <a:prstGeom prst="flowChartAlternateProcess">
          <a:avLst/>
        </a:prstGeom>
        <a:gradFill rotWithShape="1">
          <a:gsLst>
            <a:gs pos="0">
              <a:srgbClr val="333399"/>
            </a:gs>
            <a:gs pos="100000">
              <a:srgbClr val="FFFFFF"/>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23</xdr:col>
      <xdr:colOff>0</xdr:colOff>
      <xdr:row>0</xdr:row>
      <xdr:rowOff>123825</xdr:rowOff>
    </xdr:to>
    <xdr:sp macro="" textlink="">
      <xdr:nvSpPr>
        <xdr:cNvPr id="29385" name="AutoShape 2"/>
        <xdr:cNvSpPr>
          <a:spLocks noChangeArrowheads="1"/>
        </xdr:cNvSpPr>
      </xdr:nvSpPr>
      <xdr:spPr bwMode="auto">
        <a:xfrm>
          <a:off x="0" y="0"/>
          <a:ext cx="17421225" cy="123825"/>
        </a:xfrm>
        <a:prstGeom prst="flowChartAlternateProcess">
          <a:avLst/>
        </a:prstGeom>
        <a:gradFill rotWithShape="1">
          <a:gsLst>
            <a:gs pos="0">
              <a:srgbClr val="000000"/>
            </a:gs>
            <a:gs pos="100000">
              <a:srgbClr val="FFFFFF"/>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9</xdr:col>
      <xdr:colOff>1057275</xdr:colOff>
      <xdr:row>60</xdr:row>
      <xdr:rowOff>9525</xdr:rowOff>
    </xdr:from>
    <xdr:to>
      <xdr:col>22</xdr:col>
      <xdr:colOff>323850</xdr:colOff>
      <xdr:row>62</xdr:row>
      <xdr:rowOff>0</xdr:rowOff>
    </xdr:to>
    <xdr:sp macro="" textlink="">
      <xdr:nvSpPr>
        <xdr:cNvPr id="7171" name="AutoShape 3"/>
        <xdr:cNvSpPr>
          <a:spLocks noChangeArrowheads="1"/>
        </xdr:cNvSpPr>
      </xdr:nvSpPr>
      <xdr:spPr bwMode="auto">
        <a:xfrm>
          <a:off x="8343900" y="17526000"/>
          <a:ext cx="9067800" cy="581025"/>
        </a:xfrm>
        <a:prstGeom prst="flowChartAlternateProcess">
          <a:avLst/>
        </a:prstGeom>
        <a:noFill/>
        <a:ln w="25400">
          <a:solidFill>
            <a:srgbClr val="666699"/>
          </a:solidFill>
          <a:miter lim="800000"/>
          <a:headEnd/>
          <a:tailEnd/>
        </a:ln>
      </xdr:spPr>
      <xdr:txBody>
        <a:bodyPr vertOverflow="clip" wrap="square" lIns="54864" tIns="54864" rIns="54864" bIns="54864" anchor="ctr" upright="1"/>
        <a:lstStyle/>
        <a:p>
          <a:pPr algn="ctr" rtl="0">
            <a:defRPr sz="1000"/>
          </a:pPr>
          <a:r>
            <a:rPr lang="pt-PT" sz="2800" b="1" i="0" u="none" strike="noStrike" baseline="0">
              <a:solidFill>
                <a:srgbClr val="666699"/>
              </a:solidFill>
              <a:latin typeface="Calibri"/>
            </a:rPr>
            <a:t>Quem perde na Tabela azul</a:t>
          </a:r>
          <a:r>
            <a:rPr lang="pt-PT" sz="2800" b="1" i="0" u="none" strike="noStrike" baseline="0">
              <a:solidFill>
                <a:srgbClr val="000000"/>
              </a:solidFill>
              <a:latin typeface="Calibri"/>
            </a:rPr>
            <a:t>, termina o torneio.</a:t>
          </a:r>
        </a:p>
      </xdr:txBody>
    </xdr:sp>
    <xdr:clientData/>
  </xdr:twoCellAnchor>
  <xdr:twoCellAnchor>
    <xdr:from>
      <xdr:col>9</xdr:col>
      <xdr:colOff>676275</xdr:colOff>
      <xdr:row>2</xdr:row>
      <xdr:rowOff>76200</xdr:rowOff>
    </xdr:from>
    <xdr:to>
      <xdr:col>22</xdr:col>
      <xdr:colOff>314325</xdr:colOff>
      <xdr:row>3</xdr:row>
      <xdr:rowOff>257175</xdr:rowOff>
    </xdr:to>
    <xdr:sp macro="" textlink="">
      <xdr:nvSpPr>
        <xdr:cNvPr id="7172" name="AutoShape 4"/>
        <xdr:cNvSpPr>
          <a:spLocks noChangeArrowheads="1"/>
        </xdr:cNvSpPr>
      </xdr:nvSpPr>
      <xdr:spPr bwMode="auto">
        <a:xfrm>
          <a:off x="7962900" y="428625"/>
          <a:ext cx="9439275" cy="514350"/>
        </a:xfrm>
        <a:prstGeom prst="flowChartAlternateProcess">
          <a:avLst/>
        </a:prstGeom>
        <a:noFill/>
        <a:ln w="25400">
          <a:solidFill>
            <a:srgbClr val="808080"/>
          </a:solidFill>
          <a:miter lim="800000"/>
          <a:headEnd/>
          <a:tailEnd/>
        </a:ln>
      </xdr:spPr>
      <xdr:txBody>
        <a:bodyPr vertOverflow="clip" wrap="square" lIns="54864" tIns="54864" rIns="54864" bIns="54864" anchor="ctr" upright="1"/>
        <a:lstStyle/>
        <a:p>
          <a:pPr algn="ctr" rtl="0">
            <a:defRPr sz="1000"/>
          </a:pPr>
          <a:r>
            <a:rPr lang="pt-PT" sz="2800" b="1" i="0" u="none" strike="noStrike" baseline="0">
              <a:solidFill>
                <a:srgbClr val="808080"/>
              </a:solidFill>
              <a:latin typeface="Calibri"/>
            </a:rPr>
            <a:t>Quem perde na Tabela cinzenta</a:t>
          </a:r>
          <a:r>
            <a:rPr lang="pt-PT" sz="2800" b="1" i="0" u="none" strike="noStrike" baseline="0">
              <a:solidFill>
                <a:srgbClr val="000000"/>
              </a:solidFill>
              <a:latin typeface="Calibri"/>
            </a:rPr>
            <a:t>, </a:t>
          </a:r>
          <a:r>
            <a:rPr lang="pt-PT" sz="2800" b="1" i="0" u="none" strike="noStrike" baseline="0">
              <a:solidFill>
                <a:srgbClr val="666699"/>
              </a:solidFill>
              <a:latin typeface="Calibri"/>
            </a:rPr>
            <a:t>passa para a azul.</a:t>
          </a:r>
        </a:p>
      </xdr:txBody>
    </xdr:sp>
    <xdr:clientData/>
  </xdr:twoCellAnchor>
  <xdr:twoCellAnchor>
    <xdr:from>
      <xdr:col>2</xdr:col>
      <xdr:colOff>19050</xdr:colOff>
      <xdr:row>3</xdr:row>
      <xdr:rowOff>152400</xdr:rowOff>
    </xdr:from>
    <xdr:to>
      <xdr:col>3</xdr:col>
      <xdr:colOff>0</xdr:colOff>
      <xdr:row>5</xdr:row>
      <xdr:rowOff>152400</xdr:rowOff>
    </xdr:to>
    <xdr:grpSp>
      <xdr:nvGrpSpPr>
        <xdr:cNvPr id="29388" name="Group 5"/>
        <xdr:cNvGrpSpPr>
          <a:grpSpLocks/>
        </xdr:cNvGrpSpPr>
      </xdr:nvGrpSpPr>
      <xdr:grpSpPr bwMode="auto">
        <a:xfrm>
          <a:off x="1974850" y="838200"/>
          <a:ext cx="463550" cy="584200"/>
          <a:chOff x="205" y="88"/>
          <a:chExt cx="48" cy="62"/>
        </a:xfrm>
      </xdr:grpSpPr>
      <xdr:cxnSp macro="">
        <xdr:nvCxnSpPr>
          <xdr:cNvPr id="29551"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52"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53"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54"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7</xdr:row>
      <xdr:rowOff>152400</xdr:rowOff>
    </xdr:from>
    <xdr:to>
      <xdr:col>3</xdr:col>
      <xdr:colOff>0</xdr:colOff>
      <xdr:row>9</xdr:row>
      <xdr:rowOff>152400</xdr:rowOff>
    </xdr:to>
    <xdr:grpSp>
      <xdr:nvGrpSpPr>
        <xdr:cNvPr id="29389" name="Group 10"/>
        <xdr:cNvGrpSpPr>
          <a:grpSpLocks/>
        </xdr:cNvGrpSpPr>
      </xdr:nvGrpSpPr>
      <xdr:grpSpPr bwMode="auto">
        <a:xfrm>
          <a:off x="1974850" y="2006600"/>
          <a:ext cx="463550" cy="584200"/>
          <a:chOff x="205" y="88"/>
          <a:chExt cx="48" cy="62"/>
        </a:xfrm>
      </xdr:grpSpPr>
      <xdr:cxnSp macro="">
        <xdr:nvCxnSpPr>
          <xdr:cNvPr id="29547"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48"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49"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50"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11</xdr:row>
      <xdr:rowOff>161925</xdr:rowOff>
    </xdr:from>
    <xdr:to>
      <xdr:col>3</xdr:col>
      <xdr:colOff>0</xdr:colOff>
      <xdr:row>13</xdr:row>
      <xdr:rowOff>161925</xdr:rowOff>
    </xdr:to>
    <xdr:grpSp>
      <xdr:nvGrpSpPr>
        <xdr:cNvPr id="29390" name="Group 15"/>
        <xdr:cNvGrpSpPr>
          <a:grpSpLocks/>
        </xdr:cNvGrpSpPr>
      </xdr:nvGrpSpPr>
      <xdr:grpSpPr bwMode="auto">
        <a:xfrm>
          <a:off x="1974850" y="3184525"/>
          <a:ext cx="463550" cy="584200"/>
          <a:chOff x="205" y="88"/>
          <a:chExt cx="48" cy="62"/>
        </a:xfrm>
      </xdr:grpSpPr>
      <xdr:cxnSp macro="">
        <xdr:nvCxnSpPr>
          <xdr:cNvPr id="29543"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44"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45"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46"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15</xdr:row>
      <xdr:rowOff>152400</xdr:rowOff>
    </xdr:from>
    <xdr:to>
      <xdr:col>3</xdr:col>
      <xdr:colOff>0</xdr:colOff>
      <xdr:row>17</xdr:row>
      <xdr:rowOff>152400</xdr:rowOff>
    </xdr:to>
    <xdr:grpSp>
      <xdr:nvGrpSpPr>
        <xdr:cNvPr id="29391" name="Group 20"/>
        <xdr:cNvGrpSpPr>
          <a:grpSpLocks/>
        </xdr:cNvGrpSpPr>
      </xdr:nvGrpSpPr>
      <xdr:grpSpPr bwMode="auto">
        <a:xfrm>
          <a:off x="1974850" y="4343400"/>
          <a:ext cx="463550" cy="584200"/>
          <a:chOff x="205" y="88"/>
          <a:chExt cx="48" cy="62"/>
        </a:xfrm>
      </xdr:grpSpPr>
      <xdr:cxnSp macro="">
        <xdr:nvCxnSpPr>
          <xdr:cNvPr id="29539"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40"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41"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42"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19</xdr:row>
      <xdr:rowOff>142875</xdr:rowOff>
    </xdr:from>
    <xdr:to>
      <xdr:col>3</xdr:col>
      <xdr:colOff>0</xdr:colOff>
      <xdr:row>21</xdr:row>
      <xdr:rowOff>142875</xdr:rowOff>
    </xdr:to>
    <xdr:grpSp>
      <xdr:nvGrpSpPr>
        <xdr:cNvPr id="29392" name="Group 25"/>
        <xdr:cNvGrpSpPr>
          <a:grpSpLocks/>
        </xdr:cNvGrpSpPr>
      </xdr:nvGrpSpPr>
      <xdr:grpSpPr bwMode="auto">
        <a:xfrm>
          <a:off x="1974850" y="5502275"/>
          <a:ext cx="463550" cy="584200"/>
          <a:chOff x="205" y="88"/>
          <a:chExt cx="48" cy="62"/>
        </a:xfrm>
      </xdr:grpSpPr>
      <xdr:cxnSp macro="">
        <xdr:nvCxnSpPr>
          <xdr:cNvPr id="29535"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36"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37"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38"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23</xdr:row>
      <xdr:rowOff>161925</xdr:rowOff>
    </xdr:from>
    <xdr:to>
      <xdr:col>3</xdr:col>
      <xdr:colOff>0</xdr:colOff>
      <xdr:row>25</xdr:row>
      <xdr:rowOff>161925</xdr:rowOff>
    </xdr:to>
    <xdr:grpSp>
      <xdr:nvGrpSpPr>
        <xdr:cNvPr id="29393" name="Group 30"/>
        <xdr:cNvGrpSpPr>
          <a:grpSpLocks/>
        </xdr:cNvGrpSpPr>
      </xdr:nvGrpSpPr>
      <xdr:grpSpPr bwMode="auto">
        <a:xfrm>
          <a:off x="1974850" y="6689725"/>
          <a:ext cx="463550" cy="584200"/>
          <a:chOff x="205" y="88"/>
          <a:chExt cx="48" cy="62"/>
        </a:xfrm>
      </xdr:grpSpPr>
      <xdr:cxnSp macro="">
        <xdr:nvCxnSpPr>
          <xdr:cNvPr id="29531"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32"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33"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34"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19050</xdr:colOff>
      <xdr:row>4</xdr:row>
      <xdr:rowOff>161925</xdr:rowOff>
    </xdr:from>
    <xdr:to>
      <xdr:col>6</xdr:col>
      <xdr:colOff>0</xdr:colOff>
      <xdr:row>8</xdr:row>
      <xdr:rowOff>161925</xdr:rowOff>
    </xdr:to>
    <xdr:grpSp>
      <xdr:nvGrpSpPr>
        <xdr:cNvPr id="29394" name="Group 35"/>
        <xdr:cNvGrpSpPr>
          <a:grpSpLocks/>
        </xdr:cNvGrpSpPr>
      </xdr:nvGrpSpPr>
      <xdr:grpSpPr bwMode="auto">
        <a:xfrm>
          <a:off x="4413250" y="1139825"/>
          <a:ext cx="463550" cy="1168400"/>
          <a:chOff x="205" y="88"/>
          <a:chExt cx="48" cy="62"/>
        </a:xfrm>
      </xdr:grpSpPr>
      <xdr:cxnSp macro="">
        <xdr:nvCxnSpPr>
          <xdr:cNvPr id="29527"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28"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29"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30"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19050</xdr:colOff>
      <xdr:row>12</xdr:row>
      <xdr:rowOff>161925</xdr:rowOff>
    </xdr:from>
    <xdr:to>
      <xdr:col>6</xdr:col>
      <xdr:colOff>0</xdr:colOff>
      <xdr:row>16</xdr:row>
      <xdr:rowOff>161925</xdr:rowOff>
    </xdr:to>
    <xdr:grpSp>
      <xdr:nvGrpSpPr>
        <xdr:cNvPr id="29395" name="Group 40"/>
        <xdr:cNvGrpSpPr>
          <a:grpSpLocks/>
        </xdr:cNvGrpSpPr>
      </xdr:nvGrpSpPr>
      <xdr:grpSpPr bwMode="auto">
        <a:xfrm>
          <a:off x="4413250" y="3476625"/>
          <a:ext cx="463550" cy="1168400"/>
          <a:chOff x="205" y="88"/>
          <a:chExt cx="48" cy="62"/>
        </a:xfrm>
      </xdr:grpSpPr>
      <xdr:cxnSp macro="">
        <xdr:nvCxnSpPr>
          <xdr:cNvPr id="29523"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24"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25"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26"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257175</xdr:colOff>
      <xdr:row>22</xdr:row>
      <xdr:rowOff>161925</xdr:rowOff>
    </xdr:from>
    <xdr:to>
      <xdr:col>8</xdr:col>
      <xdr:colOff>428625</xdr:colOff>
      <xdr:row>22</xdr:row>
      <xdr:rowOff>161925</xdr:rowOff>
    </xdr:to>
    <xdr:cxnSp macro="">
      <xdr:nvCxnSpPr>
        <xdr:cNvPr id="29396" name="Straight Connector 44"/>
        <xdr:cNvCxnSpPr>
          <a:cxnSpLocks noChangeShapeType="1"/>
        </xdr:cNvCxnSpPr>
      </xdr:nvCxnSpPr>
      <xdr:spPr bwMode="auto">
        <a:xfrm>
          <a:off x="4638675" y="6457950"/>
          <a:ext cx="26003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20</xdr:row>
      <xdr:rowOff>161925</xdr:rowOff>
    </xdr:from>
    <xdr:to>
      <xdr:col>5</xdr:col>
      <xdr:colOff>266700</xdr:colOff>
      <xdr:row>20</xdr:row>
      <xdr:rowOff>161925</xdr:rowOff>
    </xdr:to>
    <xdr:cxnSp macro="">
      <xdr:nvCxnSpPr>
        <xdr:cNvPr id="29397" name="Straight Connector 40"/>
        <xdr:cNvCxnSpPr>
          <a:cxnSpLocks noChangeShapeType="1"/>
        </xdr:cNvCxnSpPr>
      </xdr:nvCxnSpPr>
      <xdr:spPr bwMode="auto">
        <a:xfrm>
          <a:off x="4400550" y="5867400"/>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24</xdr:row>
      <xdr:rowOff>161925</xdr:rowOff>
    </xdr:from>
    <xdr:to>
      <xdr:col>5</xdr:col>
      <xdr:colOff>257175</xdr:colOff>
      <xdr:row>24</xdr:row>
      <xdr:rowOff>161925</xdr:rowOff>
    </xdr:to>
    <xdr:cxnSp macro="">
      <xdr:nvCxnSpPr>
        <xdr:cNvPr id="29398" name="Straight Connector 41"/>
        <xdr:cNvCxnSpPr>
          <a:cxnSpLocks noChangeShapeType="1"/>
        </xdr:cNvCxnSpPr>
      </xdr:nvCxnSpPr>
      <xdr:spPr bwMode="auto">
        <a:xfrm>
          <a:off x="4400550" y="70485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20</xdr:row>
      <xdr:rowOff>161925</xdr:rowOff>
    </xdr:from>
    <xdr:to>
      <xdr:col>5</xdr:col>
      <xdr:colOff>257175</xdr:colOff>
      <xdr:row>24</xdr:row>
      <xdr:rowOff>161925</xdr:rowOff>
    </xdr:to>
    <xdr:cxnSp macro="">
      <xdr:nvCxnSpPr>
        <xdr:cNvPr id="29399" name="Straight Connector 59"/>
        <xdr:cNvCxnSpPr>
          <a:cxnSpLocks noChangeShapeType="1"/>
        </xdr:cNvCxnSpPr>
      </xdr:nvCxnSpPr>
      <xdr:spPr bwMode="auto">
        <a:xfrm rot="5400000">
          <a:off x="4048125" y="6457950"/>
          <a:ext cx="11811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10</xdr:row>
      <xdr:rowOff>161925</xdr:rowOff>
    </xdr:from>
    <xdr:to>
      <xdr:col>11</xdr:col>
      <xdr:colOff>447675</xdr:colOff>
      <xdr:row>10</xdr:row>
      <xdr:rowOff>161925</xdr:rowOff>
    </xdr:to>
    <xdr:cxnSp macro="">
      <xdr:nvCxnSpPr>
        <xdr:cNvPr id="29400" name="Straight Connector 44"/>
        <xdr:cNvCxnSpPr>
          <a:cxnSpLocks noChangeShapeType="1"/>
        </xdr:cNvCxnSpPr>
      </xdr:nvCxnSpPr>
      <xdr:spPr bwMode="auto">
        <a:xfrm>
          <a:off x="7067550" y="2914650"/>
          <a:ext cx="26193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6</xdr:row>
      <xdr:rowOff>152400</xdr:rowOff>
    </xdr:from>
    <xdr:to>
      <xdr:col>8</xdr:col>
      <xdr:colOff>266700</xdr:colOff>
      <xdr:row>6</xdr:row>
      <xdr:rowOff>152400</xdr:rowOff>
    </xdr:to>
    <xdr:cxnSp macro="">
      <xdr:nvCxnSpPr>
        <xdr:cNvPr id="29401" name="Straight Connector 40"/>
        <xdr:cNvCxnSpPr>
          <a:cxnSpLocks noChangeShapeType="1"/>
        </xdr:cNvCxnSpPr>
      </xdr:nvCxnSpPr>
      <xdr:spPr bwMode="auto">
        <a:xfrm>
          <a:off x="6829425" y="1724025"/>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14</xdr:row>
      <xdr:rowOff>171450</xdr:rowOff>
    </xdr:from>
    <xdr:to>
      <xdr:col>8</xdr:col>
      <xdr:colOff>257175</xdr:colOff>
      <xdr:row>14</xdr:row>
      <xdr:rowOff>171450</xdr:rowOff>
    </xdr:to>
    <xdr:cxnSp macro="">
      <xdr:nvCxnSpPr>
        <xdr:cNvPr id="29402" name="Straight Connector 41"/>
        <xdr:cNvCxnSpPr>
          <a:cxnSpLocks noChangeShapeType="1"/>
        </xdr:cNvCxnSpPr>
      </xdr:nvCxnSpPr>
      <xdr:spPr bwMode="auto">
        <a:xfrm>
          <a:off x="6829425" y="4105275"/>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6</xdr:row>
      <xdr:rowOff>152400</xdr:rowOff>
    </xdr:from>
    <xdr:to>
      <xdr:col>8</xdr:col>
      <xdr:colOff>257175</xdr:colOff>
      <xdr:row>14</xdr:row>
      <xdr:rowOff>171450</xdr:rowOff>
    </xdr:to>
    <xdr:cxnSp macro="">
      <xdr:nvCxnSpPr>
        <xdr:cNvPr id="29403" name="Straight Connector 59"/>
        <xdr:cNvCxnSpPr>
          <a:cxnSpLocks noChangeShapeType="1"/>
        </xdr:cNvCxnSpPr>
      </xdr:nvCxnSpPr>
      <xdr:spPr bwMode="auto">
        <a:xfrm>
          <a:off x="7067550" y="1724025"/>
          <a:ext cx="0" cy="238125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28575</xdr:colOff>
      <xdr:row>54</xdr:row>
      <xdr:rowOff>152400</xdr:rowOff>
    </xdr:from>
    <xdr:to>
      <xdr:col>2</xdr:col>
      <xdr:colOff>457200</xdr:colOff>
      <xdr:row>56</xdr:row>
      <xdr:rowOff>152400</xdr:rowOff>
    </xdr:to>
    <xdr:grpSp>
      <xdr:nvGrpSpPr>
        <xdr:cNvPr id="29404" name="Group 53"/>
        <xdr:cNvGrpSpPr>
          <a:grpSpLocks/>
        </xdr:cNvGrpSpPr>
      </xdr:nvGrpSpPr>
      <xdr:grpSpPr bwMode="auto">
        <a:xfrm>
          <a:off x="1984375" y="15735300"/>
          <a:ext cx="428625" cy="584200"/>
          <a:chOff x="197" y="863"/>
          <a:chExt cx="45" cy="62"/>
        </a:xfrm>
      </xdr:grpSpPr>
      <xdr:cxnSp macro="">
        <xdr:nvCxnSpPr>
          <xdr:cNvPr id="29519"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520"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521"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522"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257175</xdr:colOff>
      <xdr:row>48</xdr:row>
      <xdr:rowOff>133350</xdr:rowOff>
    </xdr:from>
    <xdr:to>
      <xdr:col>8</xdr:col>
      <xdr:colOff>447675</xdr:colOff>
      <xdr:row>48</xdr:row>
      <xdr:rowOff>133350</xdr:rowOff>
    </xdr:to>
    <xdr:cxnSp macro="">
      <xdr:nvCxnSpPr>
        <xdr:cNvPr id="29405" name="Straight Connector 44"/>
        <xdr:cNvCxnSpPr>
          <a:cxnSpLocks noChangeShapeType="1"/>
        </xdr:cNvCxnSpPr>
      </xdr:nvCxnSpPr>
      <xdr:spPr bwMode="auto">
        <a:xfrm>
          <a:off x="7067550" y="14106525"/>
          <a:ext cx="1905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46</xdr:row>
      <xdr:rowOff>123825</xdr:rowOff>
    </xdr:from>
    <xdr:to>
      <xdr:col>8</xdr:col>
      <xdr:colOff>266700</xdr:colOff>
      <xdr:row>46</xdr:row>
      <xdr:rowOff>123825</xdr:rowOff>
    </xdr:to>
    <xdr:cxnSp macro="">
      <xdr:nvCxnSpPr>
        <xdr:cNvPr id="29406" name="Straight Connector 40"/>
        <xdr:cNvCxnSpPr>
          <a:cxnSpLocks noChangeShapeType="1"/>
        </xdr:cNvCxnSpPr>
      </xdr:nvCxnSpPr>
      <xdr:spPr bwMode="auto">
        <a:xfrm>
          <a:off x="6838950" y="13506450"/>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50</xdr:row>
      <xdr:rowOff>142875</xdr:rowOff>
    </xdr:from>
    <xdr:to>
      <xdr:col>8</xdr:col>
      <xdr:colOff>276225</xdr:colOff>
      <xdr:row>50</xdr:row>
      <xdr:rowOff>142875</xdr:rowOff>
    </xdr:to>
    <xdr:cxnSp macro="">
      <xdr:nvCxnSpPr>
        <xdr:cNvPr id="29407" name="Straight Connector 41"/>
        <xdr:cNvCxnSpPr>
          <a:cxnSpLocks noChangeShapeType="1"/>
        </xdr:cNvCxnSpPr>
      </xdr:nvCxnSpPr>
      <xdr:spPr bwMode="auto">
        <a:xfrm>
          <a:off x="6838950" y="14706600"/>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46</xdr:row>
      <xdr:rowOff>123825</xdr:rowOff>
    </xdr:from>
    <xdr:to>
      <xdr:col>8</xdr:col>
      <xdr:colOff>257175</xdr:colOff>
      <xdr:row>50</xdr:row>
      <xdr:rowOff>142875</xdr:rowOff>
    </xdr:to>
    <xdr:cxnSp macro="">
      <xdr:nvCxnSpPr>
        <xdr:cNvPr id="29408" name="Straight Connector 59"/>
        <xdr:cNvCxnSpPr>
          <a:cxnSpLocks noChangeShapeType="1"/>
        </xdr:cNvCxnSpPr>
      </xdr:nvCxnSpPr>
      <xdr:spPr bwMode="auto">
        <a:xfrm rot="5400000">
          <a:off x="6467475" y="14106525"/>
          <a:ext cx="12001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266700</xdr:colOff>
      <xdr:row>28</xdr:row>
      <xdr:rowOff>152400</xdr:rowOff>
    </xdr:from>
    <xdr:to>
      <xdr:col>11</xdr:col>
      <xdr:colOff>457200</xdr:colOff>
      <xdr:row>28</xdr:row>
      <xdr:rowOff>152400</xdr:rowOff>
    </xdr:to>
    <xdr:cxnSp macro="">
      <xdr:nvCxnSpPr>
        <xdr:cNvPr id="29409" name="Straight Connector 44"/>
        <xdr:cNvCxnSpPr>
          <a:cxnSpLocks noChangeShapeType="1"/>
        </xdr:cNvCxnSpPr>
      </xdr:nvCxnSpPr>
      <xdr:spPr bwMode="auto">
        <a:xfrm>
          <a:off x="9505950" y="8220075"/>
          <a:ext cx="1905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19050</xdr:colOff>
      <xdr:row>22</xdr:row>
      <xdr:rowOff>152400</xdr:rowOff>
    </xdr:from>
    <xdr:to>
      <xdr:col>11</xdr:col>
      <xdr:colOff>266700</xdr:colOff>
      <xdr:row>22</xdr:row>
      <xdr:rowOff>152400</xdr:rowOff>
    </xdr:to>
    <xdr:cxnSp macro="">
      <xdr:nvCxnSpPr>
        <xdr:cNvPr id="29410" name="Straight Connector 40"/>
        <xdr:cNvCxnSpPr>
          <a:cxnSpLocks noChangeShapeType="1"/>
        </xdr:cNvCxnSpPr>
      </xdr:nvCxnSpPr>
      <xdr:spPr bwMode="auto">
        <a:xfrm>
          <a:off x="9258300" y="6448425"/>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19050</xdr:colOff>
      <xdr:row>34</xdr:row>
      <xdr:rowOff>190500</xdr:rowOff>
    </xdr:from>
    <xdr:to>
      <xdr:col>11</xdr:col>
      <xdr:colOff>257175</xdr:colOff>
      <xdr:row>34</xdr:row>
      <xdr:rowOff>190500</xdr:rowOff>
    </xdr:to>
    <xdr:cxnSp macro="">
      <xdr:nvCxnSpPr>
        <xdr:cNvPr id="29411" name="Straight Connector 41"/>
        <xdr:cNvCxnSpPr>
          <a:cxnSpLocks noChangeShapeType="1"/>
        </xdr:cNvCxnSpPr>
      </xdr:nvCxnSpPr>
      <xdr:spPr bwMode="auto">
        <a:xfrm>
          <a:off x="9258300" y="10029825"/>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257175</xdr:colOff>
      <xdr:row>22</xdr:row>
      <xdr:rowOff>152400</xdr:rowOff>
    </xdr:from>
    <xdr:to>
      <xdr:col>11</xdr:col>
      <xdr:colOff>257175</xdr:colOff>
      <xdr:row>34</xdr:row>
      <xdr:rowOff>209550</xdr:rowOff>
    </xdr:to>
    <xdr:cxnSp macro="">
      <xdr:nvCxnSpPr>
        <xdr:cNvPr id="29412" name="Straight Connector 59"/>
        <xdr:cNvCxnSpPr>
          <a:cxnSpLocks noChangeShapeType="1"/>
        </xdr:cNvCxnSpPr>
      </xdr:nvCxnSpPr>
      <xdr:spPr bwMode="auto">
        <a:xfrm rot="5400000">
          <a:off x="7696200" y="8248650"/>
          <a:ext cx="36004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238125</xdr:colOff>
      <xdr:row>39</xdr:row>
      <xdr:rowOff>171450</xdr:rowOff>
    </xdr:from>
    <xdr:to>
      <xdr:col>19</xdr:col>
      <xdr:colOff>447675</xdr:colOff>
      <xdr:row>39</xdr:row>
      <xdr:rowOff>171450</xdr:rowOff>
    </xdr:to>
    <xdr:cxnSp macro="">
      <xdr:nvCxnSpPr>
        <xdr:cNvPr id="29413" name="Straight Connector 44"/>
        <xdr:cNvCxnSpPr>
          <a:cxnSpLocks noChangeShapeType="1"/>
        </xdr:cNvCxnSpPr>
      </xdr:nvCxnSpPr>
      <xdr:spPr bwMode="auto">
        <a:xfrm>
          <a:off x="14335125" y="11487150"/>
          <a:ext cx="8667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53</xdr:row>
      <xdr:rowOff>142875</xdr:rowOff>
    </xdr:from>
    <xdr:to>
      <xdr:col>5</xdr:col>
      <xdr:colOff>466725</xdr:colOff>
      <xdr:row>55</xdr:row>
      <xdr:rowOff>142875</xdr:rowOff>
    </xdr:to>
    <xdr:grpSp>
      <xdr:nvGrpSpPr>
        <xdr:cNvPr id="29414" name="Group 68"/>
        <xdr:cNvGrpSpPr>
          <a:grpSpLocks/>
        </xdr:cNvGrpSpPr>
      </xdr:nvGrpSpPr>
      <xdr:grpSpPr bwMode="auto">
        <a:xfrm>
          <a:off x="4441825" y="15433675"/>
          <a:ext cx="419100" cy="584200"/>
          <a:chOff x="197" y="863"/>
          <a:chExt cx="45" cy="62"/>
        </a:xfrm>
      </xdr:grpSpPr>
      <xdr:cxnSp macro="">
        <xdr:nvCxnSpPr>
          <xdr:cNvPr id="29515"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516"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517"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518"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47625</xdr:colOff>
      <xdr:row>57</xdr:row>
      <xdr:rowOff>180975</xdr:rowOff>
    </xdr:from>
    <xdr:to>
      <xdr:col>5</xdr:col>
      <xdr:colOff>466725</xdr:colOff>
      <xdr:row>59</xdr:row>
      <xdr:rowOff>180975</xdr:rowOff>
    </xdr:to>
    <xdr:grpSp>
      <xdr:nvGrpSpPr>
        <xdr:cNvPr id="29415" name="Group 73"/>
        <xdr:cNvGrpSpPr>
          <a:grpSpLocks/>
        </xdr:cNvGrpSpPr>
      </xdr:nvGrpSpPr>
      <xdr:grpSpPr bwMode="auto">
        <a:xfrm>
          <a:off x="4441825" y="16640175"/>
          <a:ext cx="419100" cy="584200"/>
          <a:chOff x="197" y="863"/>
          <a:chExt cx="45" cy="62"/>
        </a:xfrm>
      </xdr:grpSpPr>
      <xdr:cxnSp macro="">
        <xdr:nvCxnSpPr>
          <xdr:cNvPr id="29511"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512"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513"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514"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47625</xdr:colOff>
      <xdr:row>56</xdr:row>
      <xdr:rowOff>152400</xdr:rowOff>
    </xdr:from>
    <xdr:to>
      <xdr:col>8</xdr:col>
      <xdr:colOff>466725</xdr:colOff>
      <xdr:row>56</xdr:row>
      <xdr:rowOff>152400</xdr:rowOff>
    </xdr:to>
    <xdr:cxnSp macro="">
      <xdr:nvCxnSpPr>
        <xdr:cNvPr id="29416" name="Straight Connector 40"/>
        <xdr:cNvCxnSpPr>
          <a:cxnSpLocks noChangeShapeType="1"/>
        </xdr:cNvCxnSpPr>
      </xdr:nvCxnSpPr>
      <xdr:spPr bwMode="auto">
        <a:xfrm>
          <a:off x="6858000" y="16487775"/>
          <a:ext cx="4191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47625</xdr:colOff>
      <xdr:row>58</xdr:row>
      <xdr:rowOff>152400</xdr:rowOff>
    </xdr:from>
    <xdr:to>
      <xdr:col>8</xdr:col>
      <xdr:colOff>276225</xdr:colOff>
      <xdr:row>58</xdr:row>
      <xdr:rowOff>152400</xdr:rowOff>
    </xdr:to>
    <xdr:cxnSp macro="">
      <xdr:nvCxnSpPr>
        <xdr:cNvPr id="29417" name="Straight Connector 41"/>
        <xdr:cNvCxnSpPr>
          <a:cxnSpLocks noChangeShapeType="1"/>
        </xdr:cNvCxnSpPr>
      </xdr:nvCxnSpPr>
      <xdr:spPr bwMode="auto">
        <a:xfrm>
          <a:off x="6858000" y="1707832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56</xdr:row>
      <xdr:rowOff>180975</xdr:rowOff>
    </xdr:from>
    <xdr:to>
      <xdr:col>8</xdr:col>
      <xdr:colOff>257175</xdr:colOff>
      <xdr:row>58</xdr:row>
      <xdr:rowOff>180975</xdr:rowOff>
    </xdr:to>
    <xdr:cxnSp macro="">
      <xdr:nvCxnSpPr>
        <xdr:cNvPr id="29418" name="Straight Connector 59"/>
        <xdr:cNvCxnSpPr>
          <a:cxnSpLocks noChangeShapeType="1"/>
        </xdr:cNvCxnSpPr>
      </xdr:nvCxnSpPr>
      <xdr:spPr bwMode="auto">
        <a:xfrm rot="5400000">
          <a:off x="6772275" y="16811625"/>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28575</xdr:colOff>
      <xdr:row>42</xdr:row>
      <xdr:rowOff>142875</xdr:rowOff>
    </xdr:from>
    <xdr:to>
      <xdr:col>11</xdr:col>
      <xdr:colOff>457200</xdr:colOff>
      <xdr:row>48</xdr:row>
      <xdr:rowOff>123825</xdr:rowOff>
    </xdr:to>
    <xdr:grpSp>
      <xdr:nvGrpSpPr>
        <xdr:cNvPr id="29419" name="Group 83"/>
        <xdr:cNvGrpSpPr>
          <a:grpSpLocks/>
        </xdr:cNvGrpSpPr>
      </xdr:nvGrpSpPr>
      <xdr:grpSpPr bwMode="auto">
        <a:xfrm>
          <a:off x="9299575" y="12220575"/>
          <a:ext cx="428625" cy="1733550"/>
          <a:chOff x="197" y="863"/>
          <a:chExt cx="45" cy="62"/>
        </a:xfrm>
      </xdr:grpSpPr>
      <xdr:cxnSp macro="">
        <xdr:nvCxnSpPr>
          <xdr:cNvPr id="29507"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508"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509"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510"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27</xdr:row>
      <xdr:rowOff>152400</xdr:rowOff>
    </xdr:from>
    <xdr:to>
      <xdr:col>3</xdr:col>
      <xdr:colOff>0</xdr:colOff>
      <xdr:row>29</xdr:row>
      <xdr:rowOff>152400</xdr:rowOff>
    </xdr:to>
    <xdr:grpSp>
      <xdr:nvGrpSpPr>
        <xdr:cNvPr id="29420" name="Group 88"/>
        <xdr:cNvGrpSpPr>
          <a:grpSpLocks/>
        </xdr:cNvGrpSpPr>
      </xdr:nvGrpSpPr>
      <xdr:grpSpPr bwMode="auto">
        <a:xfrm>
          <a:off x="1974850" y="7848600"/>
          <a:ext cx="463550" cy="584200"/>
          <a:chOff x="205" y="88"/>
          <a:chExt cx="48" cy="62"/>
        </a:xfrm>
      </xdr:grpSpPr>
      <xdr:cxnSp macro="">
        <xdr:nvCxnSpPr>
          <xdr:cNvPr id="29503"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04"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05"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06"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31</xdr:row>
      <xdr:rowOff>152400</xdr:rowOff>
    </xdr:from>
    <xdr:to>
      <xdr:col>3</xdr:col>
      <xdr:colOff>0</xdr:colOff>
      <xdr:row>33</xdr:row>
      <xdr:rowOff>152400</xdr:rowOff>
    </xdr:to>
    <xdr:grpSp>
      <xdr:nvGrpSpPr>
        <xdr:cNvPr id="29421" name="Group 93"/>
        <xdr:cNvGrpSpPr>
          <a:grpSpLocks/>
        </xdr:cNvGrpSpPr>
      </xdr:nvGrpSpPr>
      <xdr:grpSpPr bwMode="auto">
        <a:xfrm>
          <a:off x="1974850" y="9017000"/>
          <a:ext cx="463550" cy="584200"/>
          <a:chOff x="205" y="88"/>
          <a:chExt cx="48" cy="62"/>
        </a:xfrm>
      </xdr:grpSpPr>
      <xdr:cxnSp macro="">
        <xdr:nvCxnSpPr>
          <xdr:cNvPr id="29499"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00"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01"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502"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35</xdr:row>
      <xdr:rowOff>161925</xdr:rowOff>
    </xdr:from>
    <xdr:to>
      <xdr:col>3</xdr:col>
      <xdr:colOff>0</xdr:colOff>
      <xdr:row>37</xdr:row>
      <xdr:rowOff>161925</xdr:rowOff>
    </xdr:to>
    <xdr:grpSp>
      <xdr:nvGrpSpPr>
        <xdr:cNvPr id="29422" name="Group 98"/>
        <xdr:cNvGrpSpPr>
          <a:grpSpLocks/>
        </xdr:cNvGrpSpPr>
      </xdr:nvGrpSpPr>
      <xdr:grpSpPr bwMode="auto">
        <a:xfrm>
          <a:off x="1974850" y="10194925"/>
          <a:ext cx="463550" cy="584200"/>
          <a:chOff x="205" y="88"/>
          <a:chExt cx="48" cy="62"/>
        </a:xfrm>
      </xdr:grpSpPr>
      <xdr:cxnSp macro="">
        <xdr:nvCxnSpPr>
          <xdr:cNvPr id="29495"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496"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497"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498"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19050</xdr:colOff>
      <xdr:row>28</xdr:row>
      <xdr:rowOff>161925</xdr:rowOff>
    </xdr:from>
    <xdr:to>
      <xdr:col>6</xdr:col>
      <xdr:colOff>0</xdr:colOff>
      <xdr:row>32</xdr:row>
      <xdr:rowOff>161925</xdr:rowOff>
    </xdr:to>
    <xdr:grpSp>
      <xdr:nvGrpSpPr>
        <xdr:cNvPr id="29423" name="Group 103"/>
        <xdr:cNvGrpSpPr>
          <a:grpSpLocks/>
        </xdr:cNvGrpSpPr>
      </xdr:nvGrpSpPr>
      <xdr:grpSpPr bwMode="auto">
        <a:xfrm>
          <a:off x="4413250" y="8150225"/>
          <a:ext cx="463550" cy="1168400"/>
          <a:chOff x="205" y="88"/>
          <a:chExt cx="48" cy="62"/>
        </a:xfrm>
      </xdr:grpSpPr>
      <xdr:cxnSp macro="">
        <xdr:nvCxnSpPr>
          <xdr:cNvPr id="29491"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492"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493"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494"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238125</xdr:colOff>
      <xdr:row>38</xdr:row>
      <xdr:rowOff>142875</xdr:rowOff>
    </xdr:from>
    <xdr:to>
      <xdr:col>5</xdr:col>
      <xdr:colOff>457200</xdr:colOff>
      <xdr:row>38</xdr:row>
      <xdr:rowOff>142875</xdr:rowOff>
    </xdr:to>
    <xdr:cxnSp macro="">
      <xdr:nvCxnSpPr>
        <xdr:cNvPr id="29424" name="Straight Connector 44"/>
        <xdr:cNvCxnSpPr>
          <a:cxnSpLocks noChangeShapeType="1"/>
        </xdr:cNvCxnSpPr>
      </xdr:nvCxnSpPr>
      <xdr:spPr bwMode="auto">
        <a:xfrm>
          <a:off x="4619625" y="11163300"/>
          <a:ext cx="2190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36</xdr:row>
      <xdr:rowOff>161925</xdr:rowOff>
    </xdr:from>
    <xdr:to>
      <xdr:col>5</xdr:col>
      <xdr:colOff>266700</xdr:colOff>
      <xdr:row>36</xdr:row>
      <xdr:rowOff>161925</xdr:rowOff>
    </xdr:to>
    <xdr:cxnSp macro="">
      <xdr:nvCxnSpPr>
        <xdr:cNvPr id="29425" name="Straight Connector 40"/>
        <xdr:cNvCxnSpPr>
          <a:cxnSpLocks noChangeShapeType="1"/>
        </xdr:cNvCxnSpPr>
      </xdr:nvCxnSpPr>
      <xdr:spPr bwMode="auto">
        <a:xfrm>
          <a:off x="4400550" y="10591800"/>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39</xdr:row>
      <xdr:rowOff>133350</xdr:rowOff>
    </xdr:from>
    <xdr:to>
      <xdr:col>5</xdr:col>
      <xdr:colOff>257175</xdr:colOff>
      <xdr:row>39</xdr:row>
      <xdr:rowOff>133350</xdr:rowOff>
    </xdr:to>
    <xdr:cxnSp macro="">
      <xdr:nvCxnSpPr>
        <xdr:cNvPr id="29426" name="Straight Connector 41"/>
        <xdr:cNvCxnSpPr>
          <a:cxnSpLocks noChangeShapeType="1"/>
        </xdr:cNvCxnSpPr>
      </xdr:nvCxnSpPr>
      <xdr:spPr bwMode="auto">
        <a:xfrm>
          <a:off x="4400550" y="1144905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36</xdr:row>
      <xdr:rowOff>161925</xdr:rowOff>
    </xdr:from>
    <xdr:to>
      <xdr:col>5</xdr:col>
      <xdr:colOff>257175</xdr:colOff>
      <xdr:row>39</xdr:row>
      <xdr:rowOff>133350</xdr:rowOff>
    </xdr:to>
    <xdr:cxnSp macro="">
      <xdr:nvCxnSpPr>
        <xdr:cNvPr id="29427" name="Straight Connector 59"/>
        <xdr:cNvCxnSpPr>
          <a:cxnSpLocks noChangeShapeType="1"/>
        </xdr:cNvCxnSpPr>
      </xdr:nvCxnSpPr>
      <xdr:spPr bwMode="auto">
        <a:xfrm rot="5400000">
          <a:off x="4210050" y="11020425"/>
          <a:ext cx="8572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30</xdr:row>
      <xdr:rowOff>171450</xdr:rowOff>
    </xdr:from>
    <xdr:to>
      <xdr:col>9</xdr:col>
      <xdr:colOff>9525</xdr:colOff>
      <xdr:row>38</xdr:row>
      <xdr:rowOff>190500</xdr:rowOff>
    </xdr:to>
    <xdr:grpSp>
      <xdr:nvGrpSpPr>
        <xdr:cNvPr id="29428" name="Group 113"/>
        <xdr:cNvGrpSpPr>
          <a:grpSpLocks/>
        </xdr:cNvGrpSpPr>
      </xdr:nvGrpSpPr>
      <xdr:grpSpPr bwMode="auto">
        <a:xfrm>
          <a:off x="6861175" y="8743950"/>
          <a:ext cx="463550" cy="2355850"/>
          <a:chOff x="205" y="88"/>
          <a:chExt cx="48" cy="62"/>
        </a:xfrm>
      </xdr:grpSpPr>
      <xdr:cxnSp macro="">
        <xdr:nvCxnSpPr>
          <xdr:cNvPr id="29487"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488"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489"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9490"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14</xdr:col>
      <xdr:colOff>285750</xdr:colOff>
      <xdr:row>36</xdr:row>
      <xdr:rowOff>152400</xdr:rowOff>
    </xdr:from>
    <xdr:to>
      <xdr:col>19</xdr:col>
      <xdr:colOff>466725</xdr:colOff>
      <xdr:row>36</xdr:row>
      <xdr:rowOff>152400</xdr:rowOff>
    </xdr:to>
    <xdr:cxnSp macro="">
      <xdr:nvCxnSpPr>
        <xdr:cNvPr id="29429" name="Straight Connector 44"/>
        <xdr:cNvCxnSpPr>
          <a:cxnSpLocks noChangeShapeType="1"/>
        </xdr:cNvCxnSpPr>
      </xdr:nvCxnSpPr>
      <xdr:spPr bwMode="auto">
        <a:xfrm>
          <a:off x="11953875" y="10582275"/>
          <a:ext cx="32670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47625</xdr:colOff>
      <xdr:row>28</xdr:row>
      <xdr:rowOff>161925</xdr:rowOff>
    </xdr:from>
    <xdr:to>
      <xdr:col>14</xdr:col>
      <xdr:colOff>285750</xdr:colOff>
      <xdr:row>28</xdr:row>
      <xdr:rowOff>161925</xdr:rowOff>
    </xdr:to>
    <xdr:cxnSp macro="">
      <xdr:nvCxnSpPr>
        <xdr:cNvPr id="29430" name="Straight Connector 41"/>
        <xdr:cNvCxnSpPr>
          <a:cxnSpLocks noChangeShapeType="1"/>
        </xdr:cNvCxnSpPr>
      </xdr:nvCxnSpPr>
      <xdr:spPr bwMode="auto">
        <a:xfrm>
          <a:off x="11715750" y="82296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266700</xdr:colOff>
      <xdr:row>10</xdr:row>
      <xdr:rowOff>171450</xdr:rowOff>
    </xdr:from>
    <xdr:to>
      <xdr:col>14</xdr:col>
      <xdr:colOff>266700</xdr:colOff>
      <xdr:row>36</xdr:row>
      <xdr:rowOff>180975</xdr:rowOff>
    </xdr:to>
    <xdr:cxnSp macro="">
      <xdr:nvCxnSpPr>
        <xdr:cNvPr id="29431" name="Straight Connector 59"/>
        <xdr:cNvCxnSpPr>
          <a:cxnSpLocks noChangeShapeType="1"/>
        </xdr:cNvCxnSpPr>
      </xdr:nvCxnSpPr>
      <xdr:spPr bwMode="auto">
        <a:xfrm rot="5400000">
          <a:off x="8091487" y="6767513"/>
          <a:ext cx="76866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28575</xdr:colOff>
      <xdr:row>42</xdr:row>
      <xdr:rowOff>152400</xdr:rowOff>
    </xdr:from>
    <xdr:to>
      <xdr:col>2</xdr:col>
      <xdr:colOff>457200</xdr:colOff>
      <xdr:row>44</xdr:row>
      <xdr:rowOff>152400</xdr:rowOff>
    </xdr:to>
    <xdr:grpSp>
      <xdr:nvGrpSpPr>
        <xdr:cNvPr id="29432" name="Group 122"/>
        <xdr:cNvGrpSpPr>
          <a:grpSpLocks/>
        </xdr:cNvGrpSpPr>
      </xdr:nvGrpSpPr>
      <xdr:grpSpPr bwMode="auto">
        <a:xfrm>
          <a:off x="1984375" y="12230100"/>
          <a:ext cx="428625" cy="584200"/>
          <a:chOff x="197" y="863"/>
          <a:chExt cx="45" cy="62"/>
        </a:xfrm>
      </xdr:grpSpPr>
      <xdr:cxnSp macro="">
        <xdr:nvCxnSpPr>
          <xdr:cNvPr id="29483"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84"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85"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86"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28575</xdr:colOff>
      <xdr:row>46</xdr:row>
      <xdr:rowOff>180975</xdr:rowOff>
    </xdr:from>
    <xdr:to>
      <xdr:col>2</xdr:col>
      <xdr:colOff>457200</xdr:colOff>
      <xdr:row>48</xdr:row>
      <xdr:rowOff>180975</xdr:rowOff>
    </xdr:to>
    <xdr:grpSp>
      <xdr:nvGrpSpPr>
        <xdr:cNvPr id="29433" name="Group 127"/>
        <xdr:cNvGrpSpPr>
          <a:grpSpLocks/>
        </xdr:cNvGrpSpPr>
      </xdr:nvGrpSpPr>
      <xdr:grpSpPr bwMode="auto">
        <a:xfrm>
          <a:off x="1984375" y="13427075"/>
          <a:ext cx="428625" cy="584200"/>
          <a:chOff x="197" y="863"/>
          <a:chExt cx="45" cy="62"/>
        </a:xfrm>
      </xdr:grpSpPr>
      <xdr:cxnSp macro="">
        <xdr:nvCxnSpPr>
          <xdr:cNvPr id="29479"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80"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81"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82"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47625</xdr:colOff>
      <xdr:row>50</xdr:row>
      <xdr:rowOff>152400</xdr:rowOff>
    </xdr:from>
    <xdr:to>
      <xdr:col>2</xdr:col>
      <xdr:colOff>466725</xdr:colOff>
      <xdr:row>52</xdr:row>
      <xdr:rowOff>152400</xdr:rowOff>
    </xdr:to>
    <xdr:grpSp>
      <xdr:nvGrpSpPr>
        <xdr:cNvPr id="29434" name="Group 132"/>
        <xdr:cNvGrpSpPr>
          <a:grpSpLocks/>
        </xdr:cNvGrpSpPr>
      </xdr:nvGrpSpPr>
      <xdr:grpSpPr bwMode="auto">
        <a:xfrm>
          <a:off x="2003425" y="14566900"/>
          <a:ext cx="419100" cy="584200"/>
          <a:chOff x="197" y="863"/>
          <a:chExt cx="45" cy="62"/>
        </a:xfrm>
      </xdr:grpSpPr>
      <xdr:cxnSp macro="">
        <xdr:nvCxnSpPr>
          <xdr:cNvPr id="29475"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76"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77"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78"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28575</xdr:colOff>
      <xdr:row>49</xdr:row>
      <xdr:rowOff>142875</xdr:rowOff>
    </xdr:from>
    <xdr:to>
      <xdr:col>5</xdr:col>
      <xdr:colOff>457200</xdr:colOff>
      <xdr:row>51</xdr:row>
      <xdr:rowOff>142875</xdr:rowOff>
    </xdr:to>
    <xdr:grpSp>
      <xdr:nvGrpSpPr>
        <xdr:cNvPr id="29435" name="Group 137"/>
        <xdr:cNvGrpSpPr>
          <a:grpSpLocks/>
        </xdr:cNvGrpSpPr>
      </xdr:nvGrpSpPr>
      <xdr:grpSpPr bwMode="auto">
        <a:xfrm>
          <a:off x="4422775" y="14265275"/>
          <a:ext cx="428625" cy="584200"/>
          <a:chOff x="197" y="863"/>
          <a:chExt cx="45" cy="62"/>
        </a:xfrm>
      </xdr:grpSpPr>
      <xdr:cxnSp macro="">
        <xdr:nvCxnSpPr>
          <xdr:cNvPr id="29471"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72"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73"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74"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47625</xdr:colOff>
      <xdr:row>45</xdr:row>
      <xdr:rowOff>142875</xdr:rowOff>
    </xdr:from>
    <xdr:to>
      <xdr:col>5</xdr:col>
      <xdr:colOff>466725</xdr:colOff>
      <xdr:row>47</xdr:row>
      <xdr:rowOff>142875</xdr:rowOff>
    </xdr:to>
    <xdr:grpSp>
      <xdr:nvGrpSpPr>
        <xdr:cNvPr id="29436" name="Group 142"/>
        <xdr:cNvGrpSpPr>
          <a:grpSpLocks/>
        </xdr:cNvGrpSpPr>
      </xdr:nvGrpSpPr>
      <xdr:grpSpPr bwMode="auto">
        <a:xfrm>
          <a:off x="4441825" y="13096875"/>
          <a:ext cx="419100" cy="584200"/>
          <a:chOff x="197" y="863"/>
          <a:chExt cx="45" cy="62"/>
        </a:xfrm>
      </xdr:grpSpPr>
      <xdr:cxnSp macro="">
        <xdr:nvCxnSpPr>
          <xdr:cNvPr id="29467"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68"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69"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70"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247650</xdr:colOff>
      <xdr:row>42</xdr:row>
      <xdr:rowOff>142875</xdr:rowOff>
    </xdr:from>
    <xdr:to>
      <xdr:col>8</xdr:col>
      <xdr:colOff>457200</xdr:colOff>
      <xdr:row>42</xdr:row>
      <xdr:rowOff>142875</xdr:rowOff>
    </xdr:to>
    <xdr:cxnSp macro="">
      <xdr:nvCxnSpPr>
        <xdr:cNvPr id="29437" name="Straight Connector 44"/>
        <xdr:cNvCxnSpPr>
          <a:cxnSpLocks noChangeShapeType="1"/>
        </xdr:cNvCxnSpPr>
      </xdr:nvCxnSpPr>
      <xdr:spPr bwMode="auto">
        <a:xfrm>
          <a:off x="4629150" y="12344400"/>
          <a:ext cx="26384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41</xdr:row>
      <xdr:rowOff>142875</xdr:rowOff>
    </xdr:from>
    <xdr:to>
      <xdr:col>5</xdr:col>
      <xdr:colOff>295275</xdr:colOff>
      <xdr:row>41</xdr:row>
      <xdr:rowOff>142875</xdr:rowOff>
    </xdr:to>
    <xdr:cxnSp macro="">
      <xdr:nvCxnSpPr>
        <xdr:cNvPr id="29438" name="Straight Connector 40"/>
        <xdr:cNvCxnSpPr>
          <a:cxnSpLocks noChangeShapeType="1"/>
        </xdr:cNvCxnSpPr>
      </xdr:nvCxnSpPr>
      <xdr:spPr bwMode="auto">
        <a:xfrm>
          <a:off x="4429125" y="12049125"/>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43</xdr:row>
      <xdr:rowOff>142875</xdr:rowOff>
    </xdr:from>
    <xdr:to>
      <xdr:col>5</xdr:col>
      <xdr:colOff>285750</xdr:colOff>
      <xdr:row>43</xdr:row>
      <xdr:rowOff>142875</xdr:rowOff>
    </xdr:to>
    <xdr:cxnSp macro="">
      <xdr:nvCxnSpPr>
        <xdr:cNvPr id="29439" name="Straight Connector 41"/>
        <xdr:cNvCxnSpPr>
          <a:cxnSpLocks noChangeShapeType="1"/>
        </xdr:cNvCxnSpPr>
      </xdr:nvCxnSpPr>
      <xdr:spPr bwMode="auto">
        <a:xfrm>
          <a:off x="4429125" y="1263967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266700</xdr:colOff>
      <xdr:row>41</xdr:row>
      <xdr:rowOff>142875</xdr:rowOff>
    </xdr:from>
    <xdr:to>
      <xdr:col>5</xdr:col>
      <xdr:colOff>266700</xdr:colOff>
      <xdr:row>43</xdr:row>
      <xdr:rowOff>142875</xdr:rowOff>
    </xdr:to>
    <xdr:cxnSp macro="">
      <xdr:nvCxnSpPr>
        <xdr:cNvPr id="29440" name="Straight Connector 59"/>
        <xdr:cNvCxnSpPr>
          <a:cxnSpLocks noChangeShapeType="1"/>
        </xdr:cNvCxnSpPr>
      </xdr:nvCxnSpPr>
      <xdr:spPr bwMode="auto">
        <a:xfrm rot="5400000">
          <a:off x="4352925" y="12344400"/>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238125</xdr:colOff>
      <xdr:row>53</xdr:row>
      <xdr:rowOff>142875</xdr:rowOff>
    </xdr:from>
    <xdr:to>
      <xdr:col>11</xdr:col>
      <xdr:colOff>247650</xdr:colOff>
      <xdr:row>53</xdr:row>
      <xdr:rowOff>142875</xdr:rowOff>
    </xdr:to>
    <xdr:cxnSp macro="">
      <xdr:nvCxnSpPr>
        <xdr:cNvPr id="29441" name="Straight Connector 44"/>
        <xdr:cNvCxnSpPr>
          <a:cxnSpLocks noChangeShapeType="1"/>
        </xdr:cNvCxnSpPr>
      </xdr:nvCxnSpPr>
      <xdr:spPr bwMode="auto">
        <a:xfrm>
          <a:off x="7048500" y="15592425"/>
          <a:ext cx="24384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52</xdr:row>
      <xdr:rowOff>114300</xdr:rowOff>
    </xdr:from>
    <xdr:to>
      <xdr:col>8</xdr:col>
      <xdr:colOff>257175</xdr:colOff>
      <xdr:row>52</xdr:row>
      <xdr:rowOff>114300</xdr:rowOff>
    </xdr:to>
    <xdr:cxnSp macro="">
      <xdr:nvCxnSpPr>
        <xdr:cNvPr id="29442" name="Straight Connector 40"/>
        <xdr:cNvCxnSpPr>
          <a:cxnSpLocks noChangeShapeType="1"/>
        </xdr:cNvCxnSpPr>
      </xdr:nvCxnSpPr>
      <xdr:spPr bwMode="auto">
        <a:xfrm>
          <a:off x="6829425" y="1526857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54</xdr:row>
      <xdr:rowOff>114300</xdr:rowOff>
    </xdr:from>
    <xdr:to>
      <xdr:col>8</xdr:col>
      <xdr:colOff>247650</xdr:colOff>
      <xdr:row>54</xdr:row>
      <xdr:rowOff>114300</xdr:rowOff>
    </xdr:to>
    <xdr:cxnSp macro="">
      <xdr:nvCxnSpPr>
        <xdr:cNvPr id="29443" name="Straight Connector 41"/>
        <xdr:cNvCxnSpPr>
          <a:cxnSpLocks noChangeShapeType="1"/>
        </xdr:cNvCxnSpPr>
      </xdr:nvCxnSpPr>
      <xdr:spPr bwMode="auto">
        <a:xfrm>
          <a:off x="6829425" y="1585912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238125</xdr:colOff>
      <xdr:row>52</xdr:row>
      <xdr:rowOff>114300</xdr:rowOff>
    </xdr:from>
    <xdr:to>
      <xdr:col>8</xdr:col>
      <xdr:colOff>238125</xdr:colOff>
      <xdr:row>54</xdr:row>
      <xdr:rowOff>114300</xdr:rowOff>
    </xdr:to>
    <xdr:cxnSp macro="">
      <xdr:nvCxnSpPr>
        <xdr:cNvPr id="29444" name="Straight Connector 59"/>
        <xdr:cNvCxnSpPr>
          <a:cxnSpLocks noChangeShapeType="1"/>
        </xdr:cNvCxnSpPr>
      </xdr:nvCxnSpPr>
      <xdr:spPr bwMode="auto">
        <a:xfrm rot="5400000">
          <a:off x="6753225" y="15563850"/>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238125</xdr:colOff>
      <xdr:row>47</xdr:row>
      <xdr:rowOff>161925</xdr:rowOff>
    </xdr:from>
    <xdr:to>
      <xdr:col>14</xdr:col>
      <xdr:colOff>457200</xdr:colOff>
      <xdr:row>47</xdr:row>
      <xdr:rowOff>161925</xdr:rowOff>
    </xdr:to>
    <xdr:cxnSp macro="">
      <xdr:nvCxnSpPr>
        <xdr:cNvPr id="29445" name="Straight Connector 44"/>
        <xdr:cNvCxnSpPr>
          <a:cxnSpLocks noChangeShapeType="1"/>
        </xdr:cNvCxnSpPr>
      </xdr:nvCxnSpPr>
      <xdr:spPr bwMode="auto">
        <a:xfrm>
          <a:off x="11906250" y="13839825"/>
          <a:ext cx="219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xdr:colOff>
      <xdr:row>45</xdr:row>
      <xdr:rowOff>123825</xdr:rowOff>
    </xdr:from>
    <xdr:to>
      <xdr:col>14</xdr:col>
      <xdr:colOff>257175</xdr:colOff>
      <xdr:row>45</xdr:row>
      <xdr:rowOff>123825</xdr:rowOff>
    </xdr:to>
    <xdr:cxnSp macro="">
      <xdr:nvCxnSpPr>
        <xdr:cNvPr id="29446" name="Straight Connector 40"/>
        <xdr:cNvCxnSpPr>
          <a:cxnSpLocks noChangeShapeType="1"/>
        </xdr:cNvCxnSpPr>
      </xdr:nvCxnSpPr>
      <xdr:spPr bwMode="auto">
        <a:xfrm>
          <a:off x="11696700" y="1321117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xdr:colOff>
      <xdr:row>50</xdr:row>
      <xdr:rowOff>152400</xdr:rowOff>
    </xdr:from>
    <xdr:to>
      <xdr:col>14</xdr:col>
      <xdr:colOff>266700</xdr:colOff>
      <xdr:row>50</xdr:row>
      <xdr:rowOff>152400</xdr:rowOff>
    </xdr:to>
    <xdr:cxnSp macro="">
      <xdr:nvCxnSpPr>
        <xdr:cNvPr id="29447" name="Straight Connector 41"/>
        <xdr:cNvCxnSpPr>
          <a:cxnSpLocks noChangeShapeType="1"/>
        </xdr:cNvCxnSpPr>
      </xdr:nvCxnSpPr>
      <xdr:spPr bwMode="auto">
        <a:xfrm>
          <a:off x="11696700" y="1471612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247650</xdr:colOff>
      <xdr:row>45</xdr:row>
      <xdr:rowOff>123825</xdr:rowOff>
    </xdr:from>
    <xdr:to>
      <xdr:col>14</xdr:col>
      <xdr:colOff>247650</xdr:colOff>
      <xdr:row>50</xdr:row>
      <xdr:rowOff>152400</xdr:rowOff>
    </xdr:to>
    <xdr:cxnSp macro="">
      <xdr:nvCxnSpPr>
        <xdr:cNvPr id="29448" name="Straight Connector 59"/>
        <xdr:cNvCxnSpPr>
          <a:cxnSpLocks noChangeShapeType="1"/>
        </xdr:cNvCxnSpPr>
      </xdr:nvCxnSpPr>
      <xdr:spPr bwMode="auto">
        <a:xfrm rot="5400000">
          <a:off x="11163300" y="13963650"/>
          <a:ext cx="15049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28575</xdr:colOff>
      <xdr:row>47</xdr:row>
      <xdr:rowOff>152400</xdr:rowOff>
    </xdr:from>
    <xdr:to>
      <xdr:col>17</xdr:col>
      <xdr:colOff>276225</xdr:colOff>
      <xdr:row>47</xdr:row>
      <xdr:rowOff>152400</xdr:rowOff>
    </xdr:to>
    <xdr:cxnSp macro="">
      <xdr:nvCxnSpPr>
        <xdr:cNvPr id="29449" name="Straight Connector 40"/>
        <xdr:cNvCxnSpPr>
          <a:cxnSpLocks noChangeShapeType="1"/>
        </xdr:cNvCxnSpPr>
      </xdr:nvCxnSpPr>
      <xdr:spPr bwMode="auto">
        <a:xfrm>
          <a:off x="14125575" y="13830300"/>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19050</xdr:colOff>
      <xdr:row>55</xdr:row>
      <xdr:rowOff>152400</xdr:rowOff>
    </xdr:from>
    <xdr:to>
      <xdr:col>17</xdr:col>
      <xdr:colOff>276225</xdr:colOff>
      <xdr:row>55</xdr:row>
      <xdr:rowOff>152400</xdr:rowOff>
    </xdr:to>
    <xdr:cxnSp macro="">
      <xdr:nvCxnSpPr>
        <xdr:cNvPr id="29450" name="Straight Connector 41"/>
        <xdr:cNvCxnSpPr>
          <a:cxnSpLocks noChangeShapeType="1"/>
        </xdr:cNvCxnSpPr>
      </xdr:nvCxnSpPr>
      <xdr:spPr bwMode="auto">
        <a:xfrm>
          <a:off x="14116050" y="16192500"/>
          <a:ext cx="2571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257175</xdr:colOff>
      <xdr:row>39</xdr:row>
      <xdr:rowOff>152400</xdr:rowOff>
    </xdr:from>
    <xdr:to>
      <xdr:col>17</xdr:col>
      <xdr:colOff>257175</xdr:colOff>
      <xdr:row>55</xdr:row>
      <xdr:rowOff>161925</xdr:rowOff>
    </xdr:to>
    <xdr:cxnSp macro="">
      <xdr:nvCxnSpPr>
        <xdr:cNvPr id="29451" name="Straight Connector 59"/>
        <xdr:cNvCxnSpPr>
          <a:cxnSpLocks noChangeShapeType="1"/>
        </xdr:cNvCxnSpPr>
      </xdr:nvCxnSpPr>
      <xdr:spPr bwMode="auto">
        <a:xfrm rot="5400000">
          <a:off x="11987212" y="13835063"/>
          <a:ext cx="47339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238125</xdr:colOff>
      <xdr:row>55</xdr:row>
      <xdr:rowOff>142875</xdr:rowOff>
    </xdr:from>
    <xdr:to>
      <xdr:col>14</xdr:col>
      <xdr:colOff>457200</xdr:colOff>
      <xdr:row>55</xdr:row>
      <xdr:rowOff>142875</xdr:rowOff>
    </xdr:to>
    <xdr:cxnSp macro="">
      <xdr:nvCxnSpPr>
        <xdr:cNvPr id="29452" name="Straight Connector 44"/>
        <xdr:cNvCxnSpPr>
          <a:cxnSpLocks noChangeShapeType="1"/>
        </xdr:cNvCxnSpPr>
      </xdr:nvCxnSpPr>
      <xdr:spPr bwMode="auto">
        <a:xfrm>
          <a:off x="11906250" y="16182975"/>
          <a:ext cx="219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editAs="oneCell">
    <xdr:from>
      <xdr:col>15</xdr:col>
      <xdr:colOff>1476375</xdr:colOff>
      <xdr:row>21</xdr:row>
      <xdr:rowOff>66675</xdr:rowOff>
    </xdr:from>
    <xdr:to>
      <xdr:col>18</xdr:col>
      <xdr:colOff>266700</xdr:colOff>
      <xdr:row>25</xdr:row>
      <xdr:rowOff>276225</xdr:rowOff>
    </xdr:to>
    <xdr:pic>
      <xdr:nvPicPr>
        <xdr:cNvPr id="29453" name="Picture 1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20750" y="6067425"/>
          <a:ext cx="1076325" cy="1390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200025</xdr:colOff>
      <xdr:row>26</xdr:row>
      <xdr:rowOff>104775</xdr:rowOff>
    </xdr:from>
    <xdr:to>
      <xdr:col>18</xdr:col>
      <xdr:colOff>276225</xdr:colOff>
      <xdr:row>30</xdr:row>
      <xdr:rowOff>28575</xdr:rowOff>
    </xdr:to>
    <xdr:pic>
      <xdr:nvPicPr>
        <xdr:cNvPr id="29454" name="Picture 17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868400" y="7581900"/>
          <a:ext cx="8382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962025</xdr:colOff>
      <xdr:row>14</xdr:row>
      <xdr:rowOff>219075</xdr:rowOff>
    </xdr:from>
    <xdr:to>
      <xdr:col>18</xdr:col>
      <xdr:colOff>257175</xdr:colOff>
      <xdr:row>21</xdr:row>
      <xdr:rowOff>190500</xdr:rowOff>
    </xdr:to>
    <xdr:pic>
      <xdr:nvPicPr>
        <xdr:cNvPr id="29455" name="Picture 17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106400" y="4152900"/>
          <a:ext cx="1581150" cy="2038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14</xdr:col>
      <xdr:colOff>47625</xdr:colOff>
      <xdr:row>10</xdr:row>
      <xdr:rowOff>161925</xdr:rowOff>
    </xdr:from>
    <xdr:to>
      <xdr:col>14</xdr:col>
      <xdr:colOff>285750</xdr:colOff>
      <xdr:row>10</xdr:row>
      <xdr:rowOff>161925</xdr:rowOff>
    </xdr:to>
    <xdr:cxnSp macro="">
      <xdr:nvCxnSpPr>
        <xdr:cNvPr id="29456" name="Straight Connector 41"/>
        <xdr:cNvCxnSpPr>
          <a:cxnSpLocks noChangeShapeType="1"/>
        </xdr:cNvCxnSpPr>
      </xdr:nvCxnSpPr>
      <xdr:spPr bwMode="auto">
        <a:xfrm>
          <a:off x="11715750" y="291465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28575</xdr:colOff>
      <xdr:row>56</xdr:row>
      <xdr:rowOff>161925</xdr:rowOff>
    </xdr:from>
    <xdr:to>
      <xdr:col>11</xdr:col>
      <xdr:colOff>447675</xdr:colOff>
      <xdr:row>58</xdr:row>
      <xdr:rowOff>161925</xdr:rowOff>
    </xdr:to>
    <xdr:grpSp>
      <xdr:nvGrpSpPr>
        <xdr:cNvPr id="29457" name="Group 181"/>
        <xdr:cNvGrpSpPr>
          <a:grpSpLocks/>
        </xdr:cNvGrpSpPr>
      </xdr:nvGrpSpPr>
      <xdr:grpSpPr bwMode="auto">
        <a:xfrm>
          <a:off x="9299575" y="16329025"/>
          <a:ext cx="419100" cy="584200"/>
          <a:chOff x="197" y="863"/>
          <a:chExt cx="45" cy="62"/>
        </a:xfrm>
      </xdr:grpSpPr>
      <xdr:cxnSp macro="">
        <xdr:nvCxnSpPr>
          <xdr:cNvPr id="29463"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64"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65"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9466"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11</xdr:col>
      <xdr:colOff>257175</xdr:colOff>
      <xdr:row>50</xdr:row>
      <xdr:rowOff>152400</xdr:rowOff>
    </xdr:from>
    <xdr:to>
      <xdr:col>11</xdr:col>
      <xdr:colOff>257175</xdr:colOff>
      <xdr:row>53</xdr:row>
      <xdr:rowOff>152400</xdr:rowOff>
    </xdr:to>
    <xdr:cxnSp macro="">
      <xdr:nvCxnSpPr>
        <xdr:cNvPr id="29458" name="Straight Connector 59"/>
        <xdr:cNvCxnSpPr>
          <a:cxnSpLocks noChangeShapeType="1"/>
        </xdr:cNvCxnSpPr>
      </xdr:nvCxnSpPr>
      <xdr:spPr bwMode="auto">
        <a:xfrm rot="5400000">
          <a:off x="9053512" y="15159038"/>
          <a:ext cx="8858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228600</xdr:colOff>
      <xdr:row>50</xdr:row>
      <xdr:rowOff>142875</xdr:rowOff>
    </xdr:from>
    <xdr:to>
      <xdr:col>11</xdr:col>
      <xdr:colOff>447675</xdr:colOff>
      <xdr:row>50</xdr:row>
      <xdr:rowOff>142875</xdr:rowOff>
    </xdr:to>
    <xdr:cxnSp macro="">
      <xdr:nvCxnSpPr>
        <xdr:cNvPr id="29459" name="Straight Connector 44"/>
        <xdr:cNvCxnSpPr>
          <a:cxnSpLocks noChangeShapeType="1"/>
        </xdr:cNvCxnSpPr>
      </xdr:nvCxnSpPr>
      <xdr:spPr bwMode="auto">
        <a:xfrm>
          <a:off x="9467850" y="14706600"/>
          <a:ext cx="219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xdr:colOff>
      <xdr:row>55</xdr:row>
      <xdr:rowOff>142875</xdr:rowOff>
    </xdr:from>
    <xdr:to>
      <xdr:col>14</xdr:col>
      <xdr:colOff>266700</xdr:colOff>
      <xdr:row>55</xdr:row>
      <xdr:rowOff>142875</xdr:rowOff>
    </xdr:to>
    <xdr:cxnSp macro="">
      <xdr:nvCxnSpPr>
        <xdr:cNvPr id="29460" name="Straight Connector 40"/>
        <xdr:cNvCxnSpPr>
          <a:cxnSpLocks noChangeShapeType="1"/>
        </xdr:cNvCxnSpPr>
      </xdr:nvCxnSpPr>
      <xdr:spPr bwMode="auto">
        <a:xfrm>
          <a:off x="11696700" y="1618297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xdr:colOff>
      <xdr:row>57</xdr:row>
      <xdr:rowOff>142875</xdr:rowOff>
    </xdr:from>
    <xdr:to>
      <xdr:col>14</xdr:col>
      <xdr:colOff>257175</xdr:colOff>
      <xdr:row>57</xdr:row>
      <xdr:rowOff>142875</xdr:rowOff>
    </xdr:to>
    <xdr:cxnSp macro="">
      <xdr:nvCxnSpPr>
        <xdr:cNvPr id="29461" name="Straight Connector 41"/>
        <xdr:cNvCxnSpPr>
          <a:cxnSpLocks noChangeShapeType="1"/>
        </xdr:cNvCxnSpPr>
      </xdr:nvCxnSpPr>
      <xdr:spPr bwMode="auto">
        <a:xfrm>
          <a:off x="11696700" y="1677352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247650</xdr:colOff>
      <xdr:row>55</xdr:row>
      <xdr:rowOff>161925</xdr:rowOff>
    </xdr:from>
    <xdr:to>
      <xdr:col>14</xdr:col>
      <xdr:colOff>247650</xdr:colOff>
      <xdr:row>57</xdr:row>
      <xdr:rowOff>161925</xdr:rowOff>
    </xdr:to>
    <xdr:cxnSp macro="">
      <xdr:nvCxnSpPr>
        <xdr:cNvPr id="29462" name="Straight Connector 59"/>
        <xdr:cNvCxnSpPr>
          <a:cxnSpLocks noChangeShapeType="1"/>
        </xdr:cNvCxnSpPr>
      </xdr:nvCxnSpPr>
      <xdr:spPr bwMode="auto">
        <a:xfrm rot="5400000">
          <a:off x="11620500" y="16497300"/>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63</xdr:row>
      <xdr:rowOff>19050</xdr:rowOff>
    </xdr:from>
    <xdr:to>
      <xdr:col>23</xdr:col>
      <xdr:colOff>28575</xdr:colOff>
      <xdr:row>63</xdr:row>
      <xdr:rowOff>180975</xdr:rowOff>
    </xdr:to>
    <xdr:sp macro="" textlink="">
      <xdr:nvSpPr>
        <xdr:cNvPr id="32130" name="AutoShape 1"/>
        <xdr:cNvSpPr>
          <a:spLocks noChangeArrowheads="1"/>
        </xdr:cNvSpPr>
      </xdr:nvSpPr>
      <xdr:spPr bwMode="auto">
        <a:xfrm>
          <a:off x="0" y="18449925"/>
          <a:ext cx="17449800" cy="161925"/>
        </a:xfrm>
        <a:prstGeom prst="flowChartAlternateProcess">
          <a:avLst/>
        </a:prstGeom>
        <a:gradFill rotWithShape="1">
          <a:gsLst>
            <a:gs pos="0">
              <a:srgbClr val="333399"/>
            </a:gs>
            <a:gs pos="100000">
              <a:srgbClr val="FFFFFF"/>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23</xdr:col>
      <xdr:colOff>0</xdr:colOff>
      <xdr:row>0</xdr:row>
      <xdr:rowOff>123825</xdr:rowOff>
    </xdr:to>
    <xdr:sp macro="" textlink="">
      <xdr:nvSpPr>
        <xdr:cNvPr id="32131" name="AutoShape 2"/>
        <xdr:cNvSpPr>
          <a:spLocks noChangeArrowheads="1"/>
        </xdr:cNvSpPr>
      </xdr:nvSpPr>
      <xdr:spPr bwMode="auto">
        <a:xfrm>
          <a:off x="0" y="0"/>
          <a:ext cx="17421225" cy="123825"/>
        </a:xfrm>
        <a:prstGeom prst="flowChartAlternateProcess">
          <a:avLst/>
        </a:prstGeom>
        <a:gradFill rotWithShape="1">
          <a:gsLst>
            <a:gs pos="0">
              <a:srgbClr val="000000"/>
            </a:gs>
            <a:gs pos="100000">
              <a:srgbClr val="FFFFFF"/>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9</xdr:col>
      <xdr:colOff>1057275</xdr:colOff>
      <xdr:row>60</xdr:row>
      <xdr:rowOff>9525</xdr:rowOff>
    </xdr:from>
    <xdr:to>
      <xdr:col>22</xdr:col>
      <xdr:colOff>323850</xdr:colOff>
      <xdr:row>62</xdr:row>
      <xdr:rowOff>0</xdr:rowOff>
    </xdr:to>
    <xdr:sp macro="" textlink="">
      <xdr:nvSpPr>
        <xdr:cNvPr id="4" name="AutoShape 3"/>
        <xdr:cNvSpPr>
          <a:spLocks noChangeArrowheads="1"/>
        </xdr:cNvSpPr>
      </xdr:nvSpPr>
      <xdr:spPr bwMode="auto">
        <a:xfrm>
          <a:off x="8343900" y="17526000"/>
          <a:ext cx="9067800" cy="581025"/>
        </a:xfrm>
        <a:prstGeom prst="flowChartAlternateProcess">
          <a:avLst/>
        </a:prstGeom>
        <a:noFill/>
        <a:ln w="25400">
          <a:solidFill>
            <a:srgbClr val="666699"/>
          </a:solidFill>
          <a:miter lim="800000"/>
          <a:headEnd/>
          <a:tailEnd/>
        </a:ln>
      </xdr:spPr>
      <xdr:txBody>
        <a:bodyPr vertOverflow="clip" wrap="square" lIns="54864" tIns="54864" rIns="54864" bIns="54864" anchor="ctr" upright="1"/>
        <a:lstStyle/>
        <a:p>
          <a:pPr algn="ctr" rtl="0">
            <a:defRPr sz="1000"/>
          </a:pPr>
          <a:r>
            <a:rPr lang="pt-PT" sz="2800" b="1" i="0" u="none" strike="noStrike" baseline="0">
              <a:solidFill>
                <a:srgbClr val="666699"/>
              </a:solidFill>
              <a:latin typeface="Calibri"/>
            </a:rPr>
            <a:t>Quem perde na Tabela azul</a:t>
          </a:r>
          <a:r>
            <a:rPr lang="pt-PT" sz="2800" b="1" i="0" u="none" strike="noStrike" baseline="0">
              <a:solidFill>
                <a:srgbClr val="000000"/>
              </a:solidFill>
              <a:latin typeface="Calibri"/>
            </a:rPr>
            <a:t>, termina o torneio.</a:t>
          </a:r>
        </a:p>
      </xdr:txBody>
    </xdr:sp>
    <xdr:clientData/>
  </xdr:twoCellAnchor>
  <xdr:twoCellAnchor>
    <xdr:from>
      <xdr:col>9</xdr:col>
      <xdr:colOff>676275</xdr:colOff>
      <xdr:row>2</xdr:row>
      <xdr:rowOff>76200</xdr:rowOff>
    </xdr:from>
    <xdr:to>
      <xdr:col>22</xdr:col>
      <xdr:colOff>314325</xdr:colOff>
      <xdr:row>3</xdr:row>
      <xdr:rowOff>257175</xdr:rowOff>
    </xdr:to>
    <xdr:sp macro="" textlink="">
      <xdr:nvSpPr>
        <xdr:cNvPr id="5" name="AutoShape 4"/>
        <xdr:cNvSpPr>
          <a:spLocks noChangeArrowheads="1"/>
        </xdr:cNvSpPr>
      </xdr:nvSpPr>
      <xdr:spPr bwMode="auto">
        <a:xfrm>
          <a:off x="7962900" y="428625"/>
          <a:ext cx="9439275" cy="514350"/>
        </a:xfrm>
        <a:prstGeom prst="flowChartAlternateProcess">
          <a:avLst/>
        </a:prstGeom>
        <a:noFill/>
        <a:ln w="25400">
          <a:solidFill>
            <a:srgbClr val="808080"/>
          </a:solidFill>
          <a:miter lim="800000"/>
          <a:headEnd/>
          <a:tailEnd/>
        </a:ln>
      </xdr:spPr>
      <xdr:txBody>
        <a:bodyPr vertOverflow="clip" wrap="square" lIns="54864" tIns="54864" rIns="54864" bIns="54864" anchor="ctr" upright="1"/>
        <a:lstStyle/>
        <a:p>
          <a:pPr algn="ctr" rtl="0">
            <a:defRPr sz="1000"/>
          </a:pPr>
          <a:r>
            <a:rPr lang="pt-PT" sz="2800" b="1" i="0" u="none" strike="noStrike" baseline="0">
              <a:solidFill>
                <a:srgbClr val="808080"/>
              </a:solidFill>
              <a:latin typeface="Calibri"/>
            </a:rPr>
            <a:t>Quem perde na Tabela cinzenta</a:t>
          </a:r>
          <a:r>
            <a:rPr lang="pt-PT" sz="2800" b="1" i="0" u="none" strike="noStrike" baseline="0">
              <a:solidFill>
                <a:srgbClr val="000000"/>
              </a:solidFill>
              <a:latin typeface="Calibri"/>
            </a:rPr>
            <a:t>, </a:t>
          </a:r>
          <a:r>
            <a:rPr lang="pt-PT" sz="2800" b="1" i="0" u="none" strike="noStrike" baseline="0">
              <a:solidFill>
                <a:srgbClr val="666699"/>
              </a:solidFill>
              <a:latin typeface="Calibri"/>
            </a:rPr>
            <a:t>passa para a azul.</a:t>
          </a:r>
        </a:p>
      </xdr:txBody>
    </xdr:sp>
    <xdr:clientData/>
  </xdr:twoCellAnchor>
  <xdr:twoCellAnchor>
    <xdr:from>
      <xdr:col>2</xdr:col>
      <xdr:colOff>19050</xdr:colOff>
      <xdr:row>3</xdr:row>
      <xdr:rowOff>152400</xdr:rowOff>
    </xdr:from>
    <xdr:to>
      <xdr:col>3</xdr:col>
      <xdr:colOff>0</xdr:colOff>
      <xdr:row>5</xdr:row>
      <xdr:rowOff>152400</xdr:rowOff>
    </xdr:to>
    <xdr:grpSp>
      <xdr:nvGrpSpPr>
        <xdr:cNvPr id="32134" name="Group 5"/>
        <xdr:cNvGrpSpPr>
          <a:grpSpLocks/>
        </xdr:cNvGrpSpPr>
      </xdr:nvGrpSpPr>
      <xdr:grpSpPr bwMode="auto">
        <a:xfrm>
          <a:off x="1974850" y="838200"/>
          <a:ext cx="463550" cy="584200"/>
          <a:chOff x="205" y="88"/>
          <a:chExt cx="48" cy="62"/>
        </a:xfrm>
      </xdr:grpSpPr>
      <xdr:cxnSp macro="">
        <xdr:nvCxnSpPr>
          <xdr:cNvPr id="32282"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83"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84"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85"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7</xdr:row>
      <xdr:rowOff>152400</xdr:rowOff>
    </xdr:from>
    <xdr:to>
      <xdr:col>3</xdr:col>
      <xdr:colOff>0</xdr:colOff>
      <xdr:row>9</xdr:row>
      <xdr:rowOff>152400</xdr:rowOff>
    </xdr:to>
    <xdr:grpSp>
      <xdr:nvGrpSpPr>
        <xdr:cNvPr id="32135" name="Group 10"/>
        <xdr:cNvGrpSpPr>
          <a:grpSpLocks/>
        </xdr:cNvGrpSpPr>
      </xdr:nvGrpSpPr>
      <xdr:grpSpPr bwMode="auto">
        <a:xfrm>
          <a:off x="1974850" y="2006600"/>
          <a:ext cx="463550" cy="584200"/>
          <a:chOff x="205" y="88"/>
          <a:chExt cx="48" cy="62"/>
        </a:xfrm>
      </xdr:grpSpPr>
      <xdr:cxnSp macro="">
        <xdr:nvCxnSpPr>
          <xdr:cNvPr id="32278"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79"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80"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81"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11</xdr:row>
      <xdr:rowOff>161925</xdr:rowOff>
    </xdr:from>
    <xdr:to>
      <xdr:col>3</xdr:col>
      <xdr:colOff>0</xdr:colOff>
      <xdr:row>13</xdr:row>
      <xdr:rowOff>161925</xdr:rowOff>
    </xdr:to>
    <xdr:grpSp>
      <xdr:nvGrpSpPr>
        <xdr:cNvPr id="32136" name="Group 15"/>
        <xdr:cNvGrpSpPr>
          <a:grpSpLocks/>
        </xdr:cNvGrpSpPr>
      </xdr:nvGrpSpPr>
      <xdr:grpSpPr bwMode="auto">
        <a:xfrm>
          <a:off x="1974850" y="3184525"/>
          <a:ext cx="463550" cy="584200"/>
          <a:chOff x="205" y="88"/>
          <a:chExt cx="48" cy="62"/>
        </a:xfrm>
      </xdr:grpSpPr>
      <xdr:cxnSp macro="">
        <xdr:nvCxnSpPr>
          <xdr:cNvPr id="32274"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75"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76"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77"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15</xdr:row>
      <xdr:rowOff>152400</xdr:rowOff>
    </xdr:from>
    <xdr:to>
      <xdr:col>3</xdr:col>
      <xdr:colOff>0</xdr:colOff>
      <xdr:row>17</xdr:row>
      <xdr:rowOff>152400</xdr:rowOff>
    </xdr:to>
    <xdr:grpSp>
      <xdr:nvGrpSpPr>
        <xdr:cNvPr id="32137" name="Group 20"/>
        <xdr:cNvGrpSpPr>
          <a:grpSpLocks/>
        </xdr:cNvGrpSpPr>
      </xdr:nvGrpSpPr>
      <xdr:grpSpPr bwMode="auto">
        <a:xfrm>
          <a:off x="1974850" y="4343400"/>
          <a:ext cx="463550" cy="584200"/>
          <a:chOff x="205" y="88"/>
          <a:chExt cx="48" cy="62"/>
        </a:xfrm>
      </xdr:grpSpPr>
      <xdr:cxnSp macro="">
        <xdr:nvCxnSpPr>
          <xdr:cNvPr id="32270"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71"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72"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73"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19</xdr:row>
      <xdr:rowOff>142875</xdr:rowOff>
    </xdr:from>
    <xdr:to>
      <xdr:col>3</xdr:col>
      <xdr:colOff>0</xdr:colOff>
      <xdr:row>21</xdr:row>
      <xdr:rowOff>142875</xdr:rowOff>
    </xdr:to>
    <xdr:grpSp>
      <xdr:nvGrpSpPr>
        <xdr:cNvPr id="32138" name="Group 25"/>
        <xdr:cNvGrpSpPr>
          <a:grpSpLocks/>
        </xdr:cNvGrpSpPr>
      </xdr:nvGrpSpPr>
      <xdr:grpSpPr bwMode="auto">
        <a:xfrm>
          <a:off x="1974850" y="5502275"/>
          <a:ext cx="463550" cy="584200"/>
          <a:chOff x="205" y="88"/>
          <a:chExt cx="48" cy="62"/>
        </a:xfrm>
      </xdr:grpSpPr>
      <xdr:cxnSp macro="">
        <xdr:nvCxnSpPr>
          <xdr:cNvPr id="32266"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67"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68"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69"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23</xdr:row>
      <xdr:rowOff>161925</xdr:rowOff>
    </xdr:from>
    <xdr:to>
      <xdr:col>3</xdr:col>
      <xdr:colOff>0</xdr:colOff>
      <xdr:row>25</xdr:row>
      <xdr:rowOff>161925</xdr:rowOff>
    </xdr:to>
    <xdr:grpSp>
      <xdr:nvGrpSpPr>
        <xdr:cNvPr id="32139" name="Group 30"/>
        <xdr:cNvGrpSpPr>
          <a:grpSpLocks/>
        </xdr:cNvGrpSpPr>
      </xdr:nvGrpSpPr>
      <xdr:grpSpPr bwMode="auto">
        <a:xfrm>
          <a:off x="1974850" y="6689725"/>
          <a:ext cx="463550" cy="584200"/>
          <a:chOff x="205" y="88"/>
          <a:chExt cx="48" cy="62"/>
        </a:xfrm>
      </xdr:grpSpPr>
      <xdr:cxnSp macro="">
        <xdr:nvCxnSpPr>
          <xdr:cNvPr id="32262"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63"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64"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65"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19050</xdr:colOff>
      <xdr:row>4</xdr:row>
      <xdr:rowOff>161925</xdr:rowOff>
    </xdr:from>
    <xdr:to>
      <xdr:col>6</xdr:col>
      <xdr:colOff>0</xdr:colOff>
      <xdr:row>8</xdr:row>
      <xdr:rowOff>161925</xdr:rowOff>
    </xdr:to>
    <xdr:grpSp>
      <xdr:nvGrpSpPr>
        <xdr:cNvPr id="32140" name="Group 35"/>
        <xdr:cNvGrpSpPr>
          <a:grpSpLocks/>
        </xdr:cNvGrpSpPr>
      </xdr:nvGrpSpPr>
      <xdr:grpSpPr bwMode="auto">
        <a:xfrm>
          <a:off x="4413250" y="1139825"/>
          <a:ext cx="463550" cy="1168400"/>
          <a:chOff x="205" y="88"/>
          <a:chExt cx="48" cy="62"/>
        </a:xfrm>
      </xdr:grpSpPr>
      <xdr:cxnSp macro="">
        <xdr:nvCxnSpPr>
          <xdr:cNvPr id="32258"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59"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60"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61"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19050</xdr:colOff>
      <xdr:row>12</xdr:row>
      <xdr:rowOff>161925</xdr:rowOff>
    </xdr:from>
    <xdr:to>
      <xdr:col>6</xdr:col>
      <xdr:colOff>0</xdr:colOff>
      <xdr:row>16</xdr:row>
      <xdr:rowOff>161925</xdr:rowOff>
    </xdr:to>
    <xdr:grpSp>
      <xdr:nvGrpSpPr>
        <xdr:cNvPr id="32141" name="Group 40"/>
        <xdr:cNvGrpSpPr>
          <a:grpSpLocks/>
        </xdr:cNvGrpSpPr>
      </xdr:nvGrpSpPr>
      <xdr:grpSpPr bwMode="auto">
        <a:xfrm>
          <a:off x="4413250" y="3476625"/>
          <a:ext cx="463550" cy="1168400"/>
          <a:chOff x="205" y="88"/>
          <a:chExt cx="48" cy="62"/>
        </a:xfrm>
      </xdr:grpSpPr>
      <xdr:cxnSp macro="">
        <xdr:nvCxnSpPr>
          <xdr:cNvPr id="32254"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55"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56"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57"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257175</xdr:colOff>
      <xdr:row>22</xdr:row>
      <xdr:rowOff>161925</xdr:rowOff>
    </xdr:from>
    <xdr:to>
      <xdr:col>8</xdr:col>
      <xdr:colOff>428625</xdr:colOff>
      <xdr:row>22</xdr:row>
      <xdr:rowOff>161925</xdr:rowOff>
    </xdr:to>
    <xdr:cxnSp macro="">
      <xdr:nvCxnSpPr>
        <xdr:cNvPr id="32142" name="Straight Connector 44"/>
        <xdr:cNvCxnSpPr>
          <a:cxnSpLocks noChangeShapeType="1"/>
        </xdr:cNvCxnSpPr>
      </xdr:nvCxnSpPr>
      <xdr:spPr bwMode="auto">
        <a:xfrm>
          <a:off x="4638675" y="6457950"/>
          <a:ext cx="26003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20</xdr:row>
      <xdr:rowOff>161925</xdr:rowOff>
    </xdr:from>
    <xdr:to>
      <xdr:col>5</xdr:col>
      <xdr:colOff>266700</xdr:colOff>
      <xdr:row>20</xdr:row>
      <xdr:rowOff>161925</xdr:rowOff>
    </xdr:to>
    <xdr:cxnSp macro="">
      <xdr:nvCxnSpPr>
        <xdr:cNvPr id="32143" name="Straight Connector 40"/>
        <xdr:cNvCxnSpPr>
          <a:cxnSpLocks noChangeShapeType="1"/>
        </xdr:cNvCxnSpPr>
      </xdr:nvCxnSpPr>
      <xdr:spPr bwMode="auto">
        <a:xfrm>
          <a:off x="4400550" y="5867400"/>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24</xdr:row>
      <xdr:rowOff>161925</xdr:rowOff>
    </xdr:from>
    <xdr:to>
      <xdr:col>5</xdr:col>
      <xdr:colOff>257175</xdr:colOff>
      <xdr:row>24</xdr:row>
      <xdr:rowOff>161925</xdr:rowOff>
    </xdr:to>
    <xdr:cxnSp macro="">
      <xdr:nvCxnSpPr>
        <xdr:cNvPr id="32144" name="Straight Connector 41"/>
        <xdr:cNvCxnSpPr>
          <a:cxnSpLocks noChangeShapeType="1"/>
        </xdr:cNvCxnSpPr>
      </xdr:nvCxnSpPr>
      <xdr:spPr bwMode="auto">
        <a:xfrm>
          <a:off x="4400550" y="70485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20</xdr:row>
      <xdr:rowOff>161925</xdr:rowOff>
    </xdr:from>
    <xdr:to>
      <xdr:col>5</xdr:col>
      <xdr:colOff>257175</xdr:colOff>
      <xdr:row>24</xdr:row>
      <xdr:rowOff>161925</xdr:rowOff>
    </xdr:to>
    <xdr:cxnSp macro="">
      <xdr:nvCxnSpPr>
        <xdr:cNvPr id="32145" name="Straight Connector 59"/>
        <xdr:cNvCxnSpPr>
          <a:cxnSpLocks noChangeShapeType="1"/>
        </xdr:cNvCxnSpPr>
      </xdr:nvCxnSpPr>
      <xdr:spPr bwMode="auto">
        <a:xfrm rot="5400000">
          <a:off x="4048125" y="6457950"/>
          <a:ext cx="11811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10</xdr:row>
      <xdr:rowOff>161925</xdr:rowOff>
    </xdr:from>
    <xdr:to>
      <xdr:col>11</xdr:col>
      <xdr:colOff>447675</xdr:colOff>
      <xdr:row>10</xdr:row>
      <xdr:rowOff>161925</xdr:rowOff>
    </xdr:to>
    <xdr:cxnSp macro="">
      <xdr:nvCxnSpPr>
        <xdr:cNvPr id="32146" name="Straight Connector 44"/>
        <xdr:cNvCxnSpPr>
          <a:cxnSpLocks noChangeShapeType="1"/>
        </xdr:cNvCxnSpPr>
      </xdr:nvCxnSpPr>
      <xdr:spPr bwMode="auto">
        <a:xfrm>
          <a:off x="7067550" y="2914650"/>
          <a:ext cx="26193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6</xdr:row>
      <xdr:rowOff>152400</xdr:rowOff>
    </xdr:from>
    <xdr:to>
      <xdr:col>8</xdr:col>
      <xdr:colOff>266700</xdr:colOff>
      <xdr:row>6</xdr:row>
      <xdr:rowOff>152400</xdr:rowOff>
    </xdr:to>
    <xdr:cxnSp macro="">
      <xdr:nvCxnSpPr>
        <xdr:cNvPr id="32147" name="Straight Connector 40"/>
        <xdr:cNvCxnSpPr>
          <a:cxnSpLocks noChangeShapeType="1"/>
        </xdr:cNvCxnSpPr>
      </xdr:nvCxnSpPr>
      <xdr:spPr bwMode="auto">
        <a:xfrm>
          <a:off x="6829425" y="1724025"/>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14</xdr:row>
      <xdr:rowOff>171450</xdr:rowOff>
    </xdr:from>
    <xdr:to>
      <xdr:col>8</xdr:col>
      <xdr:colOff>257175</xdr:colOff>
      <xdr:row>14</xdr:row>
      <xdr:rowOff>171450</xdr:rowOff>
    </xdr:to>
    <xdr:cxnSp macro="">
      <xdr:nvCxnSpPr>
        <xdr:cNvPr id="32148" name="Straight Connector 41"/>
        <xdr:cNvCxnSpPr>
          <a:cxnSpLocks noChangeShapeType="1"/>
        </xdr:cNvCxnSpPr>
      </xdr:nvCxnSpPr>
      <xdr:spPr bwMode="auto">
        <a:xfrm>
          <a:off x="6829425" y="4105275"/>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6</xdr:row>
      <xdr:rowOff>152400</xdr:rowOff>
    </xdr:from>
    <xdr:to>
      <xdr:col>8</xdr:col>
      <xdr:colOff>257175</xdr:colOff>
      <xdr:row>14</xdr:row>
      <xdr:rowOff>171450</xdr:rowOff>
    </xdr:to>
    <xdr:cxnSp macro="">
      <xdr:nvCxnSpPr>
        <xdr:cNvPr id="32149" name="Straight Connector 59"/>
        <xdr:cNvCxnSpPr>
          <a:cxnSpLocks noChangeShapeType="1"/>
        </xdr:cNvCxnSpPr>
      </xdr:nvCxnSpPr>
      <xdr:spPr bwMode="auto">
        <a:xfrm>
          <a:off x="7067550" y="1724025"/>
          <a:ext cx="0" cy="238125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28575</xdr:colOff>
      <xdr:row>54</xdr:row>
      <xdr:rowOff>152400</xdr:rowOff>
    </xdr:from>
    <xdr:to>
      <xdr:col>5</xdr:col>
      <xdr:colOff>428625</xdr:colOff>
      <xdr:row>54</xdr:row>
      <xdr:rowOff>152400</xdr:rowOff>
    </xdr:to>
    <xdr:cxnSp macro="">
      <xdr:nvCxnSpPr>
        <xdr:cNvPr id="32150" name="Straight Connector 40"/>
        <xdr:cNvCxnSpPr>
          <a:cxnSpLocks noChangeShapeType="1"/>
        </xdr:cNvCxnSpPr>
      </xdr:nvCxnSpPr>
      <xdr:spPr bwMode="auto">
        <a:xfrm>
          <a:off x="1981200" y="15897225"/>
          <a:ext cx="28289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28575</xdr:colOff>
      <xdr:row>56</xdr:row>
      <xdr:rowOff>152400</xdr:rowOff>
    </xdr:from>
    <xdr:to>
      <xdr:col>2</xdr:col>
      <xdr:colOff>266700</xdr:colOff>
      <xdr:row>56</xdr:row>
      <xdr:rowOff>152400</xdr:rowOff>
    </xdr:to>
    <xdr:cxnSp macro="">
      <xdr:nvCxnSpPr>
        <xdr:cNvPr id="32151" name="Straight Connector 41"/>
        <xdr:cNvCxnSpPr>
          <a:cxnSpLocks noChangeShapeType="1"/>
        </xdr:cNvCxnSpPr>
      </xdr:nvCxnSpPr>
      <xdr:spPr bwMode="auto">
        <a:xfrm>
          <a:off x="1981200" y="1648777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257175</xdr:colOff>
      <xdr:row>54</xdr:row>
      <xdr:rowOff>152400</xdr:rowOff>
    </xdr:from>
    <xdr:to>
      <xdr:col>2</xdr:col>
      <xdr:colOff>257175</xdr:colOff>
      <xdr:row>56</xdr:row>
      <xdr:rowOff>152400</xdr:rowOff>
    </xdr:to>
    <xdr:cxnSp macro="">
      <xdr:nvCxnSpPr>
        <xdr:cNvPr id="32152" name="Straight Connector 59"/>
        <xdr:cNvCxnSpPr>
          <a:cxnSpLocks noChangeShapeType="1"/>
        </xdr:cNvCxnSpPr>
      </xdr:nvCxnSpPr>
      <xdr:spPr bwMode="auto">
        <a:xfrm rot="5400000">
          <a:off x="1914525" y="16192500"/>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44</xdr:row>
      <xdr:rowOff>142875</xdr:rowOff>
    </xdr:from>
    <xdr:to>
      <xdr:col>11</xdr:col>
      <xdr:colOff>428625</xdr:colOff>
      <xdr:row>44</xdr:row>
      <xdr:rowOff>142875</xdr:rowOff>
    </xdr:to>
    <xdr:cxnSp macro="">
      <xdr:nvCxnSpPr>
        <xdr:cNvPr id="32153" name="Straight Connector 44"/>
        <xdr:cNvCxnSpPr>
          <a:cxnSpLocks noChangeShapeType="1"/>
        </xdr:cNvCxnSpPr>
      </xdr:nvCxnSpPr>
      <xdr:spPr bwMode="auto">
        <a:xfrm>
          <a:off x="7067550" y="12934950"/>
          <a:ext cx="26003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42</xdr:row>
      <xdr:rowOff>133350</xdr:rowOff>
    </xdr:from>
    <xdr:to>
      <xdr:col>8</xdr:col>
      <xdr:colOff>266700</xdr:colOff>
      <xdr:row>42</xdr:row>
      <xdr:rowOff>133350</xdr:rowOff>
    </xdr:to>
    <xdr:cxnSp macro="">
      <xdr:nvCxnSpPr>
        <xdr:cNvPr id="32154" name="Straight Connector 40"/>
        <xdr:cNvCxnSpPr>
          <a:cxnSpLocks noChangeShapeType="1"/>
        </xdr:cNvCxnSpPr>
      </xdr:nvCxnSpPr>
      <xdr:spPr bwMode="auto">
        <a:xfrm>
          <a:off x="6838950" y="1233487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46</xdr:row>
      <xdr:rowOff>152400</xdr:rowOff>
    </xdr:from>
    <xdr:to>
      <xdr:col>8</xdr:col>
      <xdr:colOff>276225</xdr:colOff>
      <xdr:row>46</xdr:row>
      <xdr:rowOff>152400</xdr:rowOff>
    </xdr:to>
    <xdr:cxnSp macro="">
      <xdr:nvCxnSpPr>
        <xdr:cNvPr id="32155" name="Straight Connector 41"/>
        <xdr:cNvCxnSpPr>
          <a:cxnSpLocks noChangeShapeType="1"/>
        </xdr:cNvCxnSpPr>
      </xdr:nvCxnSpPr>
      <xdr:spPr bwMode="auto">
        <a:xfrm>
          <a:off x="6838950" y="13535025"/>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42</xdr:row>
      <xdr:rowOff>133350</xdr:rowOff>
    </xdr:from>
    <xdr:to>
      <xdr:col>8</xdr:col>
      <xdr:colOff>257175</xdr:colOff>
      <xdr:row>46</xdr:row>
      <xdr:rowOff>152400</xdr:rowOff>
    </xdr:to>
    <xdr:cxnSp macro="">
      <xdr:nvCxnSpPr>
        <xdr:cNvPr id="32156" name="Straight Connector 59"/>
        <xdr:cNvCxnSpPr>
          <a:cxnSpLocks noChangeShapeType="1"/>
        </xdr:cNvCxnSpPr>
      </xdr:nvCxnSpPr>
      <xdr:spPr bwMode="auto">
        <a:xfrm rot="5400000">
          <a:off x="6467475" y="12934950"/>
          <a:ext cx="12001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266700</xdr:colOff>
      <xdr:row>28</xdr:row>
      <xdr:rowOff>152400</xdr:rowOff>
    </xdr:from>
    <xdr:to>
      <xdr:col>11</xdr:col>
      <xdr:colOff>457200</xdr:colOff>
      <xdr:row>28</xdr:row>
      <xdr:rowOff>152400</xdr:rowOff>
    </xdr:to>
    <xdr:cxnSp macro="">
      <xdr:nvCxnSpPr>
        <xdr:cNvPr id="32157" name="Straight Connector 44"/>
        <xdr:cNvCxnSpPr>
          <a:cxnSpLocks noChangeShapeType="1"/>
        </xdr:cNvCxnSpPr>
      </xdr:nvCxnSpPr>
      <xdr:spPr bwMode="auto">
        <a:xfrm>
          <a:off x="9505950" y="8220075"/>
          <a:ext cx="1905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19050</xdr:colOff>
      <xdr:row>22</xdr:row>
      <xdr:rowOff>152400</xdr:rowOff>
    </xdr:from>
    <xdr:to>
      <xdr:col>11</xdr:col>
      <xdr:colOff>266700</xdr:colOff>
      <xdr:row>22</xdr:row>
      <xdr:rowOff>152400</xdr:rowOff>
    </xdr:to>
    <xdr:cxnSp macro="">
      <xdr:nvCxnSpPr>
        <xdr:cNvPr id="32158" name="Straight Connector 40"/>
        <xdr:cNvCxnSpPr>
          <a:cxnSpLocks noChangeShapeType="1"/>
        </xdr:cNvCxnSpPr>
      </xdr:nvCxnSpPr>
      <xdr:spPr bwMode="auto">
        <a:xfrm>
          <a:off x="9258300" y="6448425"/>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19050</xdr:colOff>
      <xdr:row>33</xdr:row>
      <xdr:rowOff>123825</xdr:rowOff>
    </xdr:from>
    <xdr:to>
      <xdr:col>11</xdr:col>
      <xdr:colOff>257175</xdr:colOff>
      <xdr:row>33</xdr:row>
      <xdr:rowOff>123825</xdr:rowOff>
    </xdr:to>
    <xdr:cxnSp macro="">
      <xdr:nvCxnSpPr>
        <xdr:cNvPr id="32159" name="Straight Connector 41"/>
        <xdr:cNvCxnSpPr>
          <a:cxnSpLocks noChangeShapeType="1"/>
        </xdr:cNvCxnSpPr>
      </xdr:nvCxnSpPr>
      <xdr:spPr bwMode="auto">
        <a:xfrm>
          <a:off x="9258300" y="9667875"/>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257175</xdr:colOff>
      <xdr:row>22</xdr:row>
      <xdr:rowOff>152400</xdr:rowOff>
    </xdr:from>
    <xdr:to>
      <xdr:col>11</xdr:col>
      <xdr:colOff>257175</xdr:colOff>
      <xdr:row>33</xdr:row>
      <xdr:rowOff>142875</xdr:rowOff>
    </xdr:to>
    <xdr:cxnSp macro="">
      <xdr:nvCxnSpPr>
        <xdr:cNvPr id="32160" name="Straight Connector 59"/>
        <xdr:cNvCxnSpPr>
          <a:cxnSpLocks noChangeShapeType="1"/>
        </xdr:cNvCxnSpPr>
      </xdr:nvCxnSpPr>
      <xdr:spPr bwMode="auto">
        <a:xfrm>
          <a:off x="9496425" y="6448425"/>
          <a:ext cx="0" cy="323850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238125</xdr:colOff>
      <xdr:row>39</xdr:row>
      <xdr:rowOff>171450</xdr:rowOff>
    </xdr:from>
    <xdr:to>
      <xdr:col>19</xdr:col>
      <xdr:colOff>447675</xdr:colOff>
      <xdr:row>39</xdr:row>
      <xdr:rowOff>171450</xdr:rowOff>
    </xdr:to>
    <xdr:cxnSp macro="">
      <xdr:nvCxnSpPr>
        <xdr:cNvPr id="32161" name="Straight Connector 44"/>
        <xdr:cNvCxnSpPr>
          <a:cxnSpLocks noChangeShapeType="1"/>
        </xdr:cNvCxnSpPr>
      </xdr:nvCxnSpPr>
      <xdr:spPr bwMode="auto">
        <a:xfrm>
          <a:off x="14335125" y="11487150"/>
          <a:ext cx="8667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57</xdr:row>
      <xdr:rowOff>180975</xdr:rowOff>
    </xdr:from>
    <xdr:to>
      <xdr:col>5</xdr:col>
      <xdr:colOff>466725</xdr:colOff>
      <xdr:row>59</xdr:row>
      <xdr:rowOff>180975</xdr:rowOff>
    </xdr:to>
    <xdr:grpSp>
      <xdr:nvGrpSpPr>
        <xdr:cNvPr id="32162" name="Group 73"/>
        <xdr:cNvGrpSpPr>
          <a:grpSpLocks/>
        </xdr:cNvGrpSpPr>
      </xdr:nvGrpSpPr>
      <xdr:grpSpPr bwMode="auto">
        <a:xfrm>
          <a:off x="4441825" y="16640175"/>
          <a:ext cx="419100" cy="584200"/>
          <a:chOff x="197" y="863"/>
          <a:chExt cx="45" cy="62"/>
        </a:xfrm>
      </xdr:grpSpPr>
      <xdr:cxnSp macro="">
        <xdr:nvCxnSpPr>
          <xdr:cNvPr id="32250"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51"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52"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53"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47625</xdr:colOff>
      <xdr:row>56</xdr:row>
      <xdr:rowOff>152400</xdr:rowOff>
    </xdr:from>
    <xdr:to>
      <xdr:col>8</xdr:col>
      <xdr:colOff>466725</xdr:colOff>
      <xdr:row>56</xdr:row>
      <xdr:rowOff>152400</xdr:rowOff>
    </xdr:to>
    <xdr:cxnSp macro="">
      <xdr:nvCxnSpPr>
        <xdr:cNvPr id="32163" name="Straight Connector 40"/>
        <xdr:cNvCxnSpPr>
          <a:cxnSpLocks noChangeShapeType="1"/>
        </xdr:cNvCxnSpPr>
      </xdr:nvCxnSpPr>
      <xdr:spPr bwMode="auto">
        <a:xfrm>
          <a:off x="6858000" y="16487775"/>
          <a:ext cx="4191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47625</xdr:colOff>
      <xdr:row>58</xdr:row>
      <xdr:rowOff>152400</xdr:rowOff>
    </xdr:from>
    <xdr:to>
      <xdr:col>8</xdr:col>
      <xdr:colOff>276225</xdr:colOff>
      <xdr:row>58</xdr:row>
      <xdr:rowOff>152400</xdr:rowOff>
    </xdr:to>
    <xdr:cxnSp macro="">
      <xdr:nvCxnSpPr>
        <xdr:cNvPr id="32164" name="Straight Connector 41"/>
        <xdr:cNvCxnSpPr>
          <a:cxnSpLocks noChangeShapeType="1"/>
        </xdr:cNvCxnSpPr>
      </xdr:nvCxnSpPr>
      <xdr:spPr bwMode="auto">
        <a:xfrm>
          <a:off x="6858000" y="1707832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56</xdr:row>
      <xdr:rowOff>180975</xdr:rowOff>
    </xdr:from>
    <xdr:to>
      <xdr:col>8</xdr:col>
      <xdr:colOff>257175</xdr:colOff>
      <xdr:row>58</xdr:row>
      <xdr:rowOff>180975</xdr:rowOff>
    </xdr:to>
    <xdr:cxnSp macro="">
      <xdr:nvCxnSpPr>
        <xdr:cNvPr id="32165" name="Straight Connector 59"/>
        <xdr:cNvCxnSpPr>
          <a:cxnSpLocks noChangeShapeType="1"/>
        </xdr:cNvCxnSpPr>
      </xdr:nvCxnSpPr>
      <xdr:spPr bwMode="auto">
        <a:xfrm rot="5400000">
          <a:off x="6772275" y="16811625"/>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19050</xdr:colOff>
      <xdr:row>27</xdr:row>
      <xdr:rowOff>152400</xdr:rowOff>
    </xdr:from>
    <xdr:to>
      <xdr:col>3</xdr:col>
      <xdr:colOff>0</xdr:colOff>
      <xdr:row>29</xdr:row>
      <xdr:rowOff>152400</xdr:rowOff>
    </xdr:to>
    <xdr:grpSp>
      <xdr:nvGrpSpPr>
        <xdr:cNvPr id="32166" name="Group 88"/>
        <xdr:cNvGrpSpPr>
          <a:grpSpLocks/>
        </xdr:cNvGrpSpPr>
      </xdr:nvGrpSpPr>
      <xdr:grpSpPr bwMode="auto">
        <a:xfrm>
          <a:off x="1974850" y="7848600"/>
          <a:ext cx="463550" cy="584200"/>
          <a:chOff x="205" y="88"/>
          <a:chExt cx="48" cy="62"/>
        </a:xfrm>
      </xdr:grpSpPr>
      <xdr:cxnSp macro="">
        <xdr:nvCxnSpPr>
          <xdr:cNvPr id="32246"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47"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48"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49"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31</xdr:row>
      <xdr:rowOff>152400</xdr:rowOff>
    </xdr:from>
    <xdr:to>
      <xdr:col>3</xdr:col>
      <xdr:colOff>0</xdr:colOff>
      <xdr:row>33</xdr:row>
      <xdr:rowOff>152400</xdr:rowOff>
    </xdr:to>
    <xdr:grpSp>
      <xdr:nvGrpSpPr>
        <xdr:cNvPr id="32167" name="Group 93"/>
        <xdr:cNvGrpSpPr>
          <a:grpSpLocks/>
        </xdr:cNvGrpSpPr>
      </xdr:nvGrpSpPr>
      <xdr:grpSpPr bwMode="auto">
        <a:xfrm>
          <a:off x="1974850" y="9017000"/>
          <a:ext cx="463550" cy="584200"/>
          <a:chOff x="205" y="88"/>
          <a:chExt cx="48" cy="62"/>
        </a:xfrm>
      </xdr:grpSpPr>
      <xdr:cxnSp macro="">
        <xdr:nvCxnSpPr>
          <xdr:cNvPr id="32242"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43"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44"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45"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257175</xdr:colOff>
      <xdr:row>36</xdr:row>
      <xdr:rowOff>161925</xdr:rowOff>
    </xdr:from>
    <xdr:to>
      <xdr:col>5</xdr:col>
      <xdr:colOff>390525</xdr:colOff>
      <xdr:row>36</xdr:row>
      <xdr:rowOff>161925</xdr:rowOff>
    </xdr:to>
    <xdr:cxnSp macro="">
      <xdr:nvCxnSpPr>
        <xdr:cNvPr id="32168" name="Straight Connector 44"/>
        <xdr:cNvCxnSpPr>
          <a:cxnSpLocks noChangeShapeType="1"/>
        </xdr:cNvCxnSpPr>
      </xdr:nvCxnSpPr>
      <xdr:spPr bwMode="auto">
        <a:xfrm>
          <a:off x="2209800" y="10591800"/>
          <a:ext cx="25622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19050</xdr:colOff>
      <xdr:row>35</xdr:row>
      <xdr:rowOff>161925</xdr:rowOff>
    </xdr:from>
    <xdr:to>
      <xdr:col>2</xdr:col>
      <xdr:colOff>266700</xdr:colOff>
      <xdr:row>35</xdr:row>
      <xdr:rowOff>161925</xdr:rowOff>
    </xdr:to>
    <xdr:cxnSp macro="">
      <xdr:nvCxnSpPr>
        <xdr:cNvPr id="32169" name="Straight Connector 40"/>
        <xdr:cNvCxnSpPr>
          <a:cxnSpLocks noChangeShapeType="1"/>
        </xdr:cNvCxnSpPr>
      </xdr:nvCxnSpPr>
      <xdr:spPr bwMode="auto">
        <a:xfrm>
          <a:off x="1971675" y="10296525"/>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19050</xdr:colOff>
      <xdr:row>37</xdr:row>
      <xdr:rowOff>161925</xdr:rowOff>
    </xdr:from>
    <xdr:to>
      <xdr:col>2</xdr:col>
      <xdr:colOff>257175</xdr:colOff>
      <xdr:row>37</xdr:row>
      <xdr:rowOff>161925</xdr:rowOff>
    </xdr:to>
    <xdr:cxnSp macro="">
      <xdr:nvCxnSpPr>
        <xdr:cNvPr id="32170" name="Straight Connector 41"/>
        <xdr:cNvCxnSpPr>
          <a:cxnSpLocks noChangeShapeType="1"/>
        </xdr:cNvCxnSpPr>
      </xdr:nvCxnSpPr>
      <xdr:spPr bwMode="auto">
        <a:xfrm>
          <a:off x="1971675" y="10887075"/>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257175</xdr:colOff>
      <xdr:row>35</xdr:row>
      <xdr:rowOff>161925</xdr:rowOff>
    </xdr:from>
    <xdr:to>
      <xdr:col>2</xdr:col>
      <xdr:colOff>257175</xdr:colOff>
      <xdr:row>37</xdr:row>
      <xdr:rowOff>161925</xdr:rowOff>
    </xdr:to>
    <xdr:cxnSp macro="">
      <xdr:nvCxnSpPr>
        <xdr:cNvPr id="32171" name="Straight Connector 59"/>
        <xdr:cNvCxnSpPr>
          <a:cxnSpLocks noChangeShapeType="1"/>
        </xdr:cNvCxnSpPr>
      </xdr:nvCxnSpPr>
      <xdr:spPr bwMode="auto">
        <a:xfrm rot="5400000">
          <a:off x="1914525" y="10591800"/>
          <a:ext cx="5905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28</xdr:row>
      <xdr:rowOff>161925</xdr:rowOff>
    </xdr:from>
    <xdr:to>
      <xdr:col>6</xdr:col>
      <xdr:colOff>0</xdr:colOff>
      <xdr:row>32</xdr:row>
      <xdr:rowOff>161925</xdr:rowOff>
    </xdr:to>
    <xdr:grpSp>
      <xdr:nvGrpSpPr>
        <xdr:cNvPr id="32172" name="Group 103"/>
        <xdr:cNvGrpSpPr>
          <a:grpSpLocks/>
        </xdr:cNvGrpSpPr>
      </xdr:nvGrpSpPr>
      <xdr:grpSpPr bwMode="auto">
        <a:xfrm>
          <a:off x="4413250" y="8150225"/>
          <a:ext cx="463550" cy="1168400"/>
          <a:chOff x="205" y="88"/>
          <a:chExt cx="48" cy="62"/>
        </a:xfrm>
      </xdr:grpSpPr>
      <xdr:cxnSp macro="">
        <xdr:nvCxnSpPr>
          <xdr:cNvPr id="32238"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39"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40"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41"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28575</xdr:colOff>
      <xdr:row>30</xdr:row>
      <xdr:rowOff>171450</xdr:rowOff>
    </xdr:from>
    <xdr:to>
      <xdr:col>9</xdr:col>
      <xdr:colOff>9525</xdr:colOff>
      <xdr:row>36</xdr:row>
      <xdr:rowOff>142875</xdr:rowOff>
    </xdr:to>
    <xdr:grpSp>
      <xdr:nvGrpSpPr>
        <xdr:cNvPr id="32173" name="Group 113"/>
        <xdr:cNvGrpSpPr>
          <a:grpSpLocks/>
        </xdr:cNvGrpSpPr>
      </xdr:nvGrpSpPr>
      <xdr:grpSpPr bwMode="auto">
        <a:xfrm>
          <a:off x="6861175" y="8743950"/>
          <a:ext cx="463550" cy="1724025"/>
          <a:chOff x="205" y="88"/>
          <a:chExt cx="48" cy="62"/>
        </a:xfrm>
      </xdr:grpSpPr>
      <xdr:cxnSp macro="">
        <xdr:nvCxnSpPr>
          <xdr:cNvPr id="32234"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35"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36"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2237"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14</xdr:col>
      <xdr:colOff>285750</xdr:colOff>
      <xdr:row>36</xdr:row>
      <xdr:rowOff>152400</xdr:rowOff>
    </xdr:from>
    <xdr:to>
      <xdr:col>19</xdr:col>
      <xdr:colOff>466725</xdr:colOff>
      <xdr:row>36</xdr:row>
      <xdr:rowOff>152400</xdr:rowOff>
    </xdr:to>
    <xdr:cxnSp macro="">
      <xdr:nvCxnSpPr>
        <xdr:cNvPr id="32174" name="Straight Connector 44"/>
        <xdr:cNvCxnSpPr>
          <a:cxnSpLocks noChangeShapeType="1"/>
        </xdr:cNvCxnSpPr>
      </xdr:nvCxnSpPr>
      <xdr:spPr bwMode="auto">
        <a:xfrm>
          <a:off x="11953875" y="10582275"/>
          <a:ext cx="32670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47625</xdr:colOff>
      <xdr:row>28</xdr:row>
      <xdr:rowOff>161925</xdr:rowOff>
    </xdr:from>
    <xdr:to>
      <xdr:col>14</xdr:col>
      <xdr:colOff>285750</xdr:colOff>
      <xdr:row>28</xdr:row>
      <xdr:rowOff>161925</xdr:rowOff>
    </xdr:to>
    <xdr:cxnSp macro="">
      <xdr:nvCxnSpPr>
        <xdr:cNvPr id="32175" name="Straight Connector 41"/>
        <xdr:cNvCxnSpPr>
          <a:cxnSpLocks noChangeShapeType="1"/>
        </xdr:cNvCxnSpPr>
      </xdr:nvCxnSpPr>
      <xdr:spPr bwMode="auto">
        <a:xfrm>
          <a:off x="11715750" y="82296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266700</xdr:colOff>
      <xdr:row>10</xdr:row>
      <xdr:rowOff>171450</xdr:rowOff>
    </xdr:from>
    <xdr:to>
      <xdr:col>14</xdr:col>
      <xdr:colOff>266700</xdr:colOff>
      <xdr:row>36</xdr:row>
      <xdr:rowOff>180975</xdr:rowOff>
    </xdr:to>
    <xdr:cxnSp macro="">
      <xdr:nvCxnSpPr>
        <xdr:cNvPr id="32176" name="Straight Connector 59"/>
        <xdr:cNvCxnSpPr>
          <a:cxnSpLocks noChangeShapeType="1"/>
        </xdr:cNvCxnSpPr>
      </xdr:nvCxnSpPr>
      <xdr:spPr bwMode="auto">
        <a:xfrm rot="5400000">
          <a:off x="8091487" y="6767513"/>
          <a:ext cx="76866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28575</xdr:colOff>
      <xdr:row>42</xdr:row>
      <xdr:rowOff>152400</xdr:rowOff>
    </xdr:from>
    <xdr:to>
      <xdr:col>2</xdr:col>
      <xdr:colOff>457200</xdr:colOff>
      <xdr:row>44</xdr:row>
      <xdr:rowOff>152400</xdr:rowOff>
    </xdr:to>
    <xdr:grpSp>
      <xdr:nvGrpSpPr>
        <xdr:cNvPr id="32177" name="Group 122"/>
        <xdr:cNvGrpSpPr>
          <a:grpSpLocks/>
        </xdr:cNvGrpSpPr>
      </xdr:nvGrpSpPr>
      <xdr:grpSpPr bwMode="auto">
        <a:xfrm>
          <a:off x="1984375" y="12230100"/>
          <a:ext cx="428625" cy="584200"/>
          <a:chOff x="197" y="863"/>
          <a:chExt cx="45" cy="62"/>
        </a:xfrm>
      </xdr:grpSpPr>
      <xdr:cxnSp macro="">
        <xdr:nvCxnSpPr>
          <xdr:cNvPr id="32230"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31"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32"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33"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28575</xdr:colOff>
      <xdr:row>46</xdr:row>
      <xdr:rowOff>180975</xdr:rowOff>
    </xdr:from>
    <xdr:to>
      <xdr:col>2</xdr:col>
      <xdr:colOff>457200</xdr:colOff>
      <xdr:row>48</xdr:row>
      <xdr:rowOff>180975</xdr:rowOff>
    </xdr:to>
    <xdr:grpSp>
      <xdr:nvGrpSpPr>
        <xdr:cNvPr id="32178" name="Group 127"/>
        <xdr:cNvGrpSpPr>
          <a:grpSpLocks/>
        </xdr:cNvGrpSpPr>
      </xdr:nvGrpSpPr>
      <xdr:grpSpPr bwMode="auto">
        <a:xfrm>
          <a:off x="1984375" y="13427075"/>
          <a:ext cx="428625" cy="584200"/>
          <a:chOff x="197" y="863"/>
          <a:chExt cx="45" cy="62"/>
        </a:xfrm>
      </xdr:grpSpPr>
      <xdr:cxnSp macro="">
        <xdr:nvCxnSpPr>
          <xdr:cNvPr id="32226"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27"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28"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29"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47625</xdr:colOff>
      <xdr:row>50</xdr:row>
      <xdr:rowOff>152400</xdr:rowOff>
    </xdr:from>
    <xdr:to>
      <xdr:col>2</xdr:col>
      <xdr:colOff>466725</xdr:colOff>
      <xdr:row>52</xdr:row>
      <xdr:rowOff>152400</xdr:rowOff>
    </xdr:to>
    <xdr:grpSp>
      <xdr:nvGrpSpPr>
        <xdr:cNvPr id="32179" name="Group 132"/>
        <xdr:cNvGrpSpPr>
          <a:grpSpLocks/>
        </xdr:cNvGrpSpPr>
      </xdr:nvGrpSpPr>
      <xdr:grpSpPr bwMode="auto">
        <a:xfrm>
          <a:off x="2003425" y="14566900"/>
          <a:ext cx="419100" cy="584200"/>
          <a:chOff x="197" y="863"/>
          <a:chExt cx="45" cy="62"/>
        </a:xfrm>
      </xdr:grpSpPr>
      <xdr:cxnSp macro="">
        <xdr:nvCxnSpPr>
          <xdr:cNvPr id="32222"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23"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24"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25"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238125</xdr:colOff>
      <xdr:row>50</xdr:row>
      <xdr:rowOff>142875</xdr:rowOff>
    </xdr:from>
    <xdr:to>
      <xdr:col>8</xdr:col>
      <xdr:colOff>419100</xdr:colOff>
      <xdr:row>50</xdr:row>
      <xdr:rowOff>142875</xdr:rowOff>
    </xdr:to>
    <xdr:cxnSp macro="">
      <xdr:nvCxnSpPr>
        <xdr:cNvPr id="32180" name="Straight Connector 44"/>
        <xdr:cNvCxnSpPr>
          <a:cxnSpLocks noChangeShapeType="1"/>
        </xdr:cNvCxnSpPr>
      </xdr:nvCxnSpPr>
      <xdr:spPr bwMode="auto">
        <a:xfrm>
          <a:off x="4619625" y="14706600"/>
          <a:ext cx="26098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28575</xdr:colOff>
      <xdr:row>49</xdr:row>
      <xdr:rowOff>142875</xdr:rowOff>
    </xdr:from>
    <xdr:to>
      <xdr:col>5</xdr:col>
      <xdr:colOff>276225</xdr:colOff>
      <xdr:row>49</xdr:row>
      <xdr:rowOff>142875</xdr:rowOff>
    </xdr:to>
    <xdr:cxnSp macro="">
      <xdr:nvCxnSpPr>
        <xdr:cNvPr id="32181" name="Straight Connector 40"/>
        <xdr:cNvCxnSpPr>
          <a:cxnSpLocks noChangeShapeType="1"/>
        </xdr:cNvCxnSpPr>
      </xdr:nvCxnSpPr>
      <xdr:spPr bwMode="auto">
        <a:xfrm>
          <a:off x="4410075" y="14411325"/>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28575</xdr:colOff>
      <xdr:row>51</xdr:row>
      <xdr:rowOff>142875</xdr:rowOff>
    </xdr:from>
    <xdr:to>
      <xdr:col>5</xdr:col>
      <xdr:colOff>266700</xdr:colOff>
      <xdr:row>51</xdr:row>
      <xdr:rowOff>142875</xdr:rowOff>
    </xdr:to>
    <xdr:cxnSp macro="">
      <xdr:nvCxnSpPr>
        <xdr:cNvPr id="32182" name="Straight Connector 41"/>
        <xdr:cNvCxnSpPr>
          <a:cxnSpLocks noChangeShapeType="1"/>
        </xdr:cNvCxnSpPr>
      </xdr:nvCxnSpPr>
      <xdr:spPr bwMode="auto">
        <a:xfrm>
          <a:off x="4410075" y="1500187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49</xdr:row>
      <xdr:rowOff>142875</xdr:rowOff>
    </xdr:from>
    <xdr:to>
      <xdr:col>5</xdr:col>
      <xdr:colOff>257175</xdr:colOff>
      <xdr:row>51</xdr:row>
      <xdr:rowOff>142875</xdr:rowOff>
    </xdr:to>
    <xdr:cxnSp macro="">
      <xdr:nvCxnSpPr>
        <xdr:cNvPr id="32183" name="Straight Connector 59"/>
        <xdr:cNvCxnSpPr>
          <a:cxnSpLocks noChangeShapeType="1"/>
        </xdr:cNvCxnSpPr>
      </xdr:nvCxnSpPr>
      <xdr:spPr bwMode="auto">
        <a:xfrm rot="5400000">
          <a:off x="4343400" y="14706600"/>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45</xdr:row>
      <xdr:rowOff>142875</xdr:rowOff>
    </xdr:from>
    <xdr:to>
      <xdr:col>5</xdr:col>
      <xdr:colOff>466725</xdr:colOff>
      <xdr:row>47</xdr:row>
      <xdr:rowOff>142875</xdr:rowOff>
    </xdr:to>
    <xdr:grpSp>
      <xdr:nvGrpSpPr>
        <xdr:cNvPr id="32184" name="Group 142"/>
        <xdr:cNvGrpSpPr>
          <a:grpSpLocks/>
        </xdr:cNvGrpSpPr>
      </xdr:nvGrpSpPr>
      <xdr:grpSpPr bwMode="auto">
        <a:xfrm>
          <a:off x="4441825" y="13096875"/>
          <a:ext cx="419100" cy="584200"/>
          <a:chOff x="197" y="863"/>
          <a:chExt cx="45" cy="62"/>
        </a:xfrm>
      </xdr:grpSpPr>
      <xdr:cxnSp macro="">
        <xdr:nvCxnSpPr>
          <xdr:cNvPr id="32218"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19"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20"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21"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247650</xdr:colOff>
      <xdr:row>42</xdr:row>
      <xdr:rowOff>142875</xdr:rowOff>
    </xdr:from>
    <xdr:to>
      <xdr:col>5</xdr:col>
      <xdr:colOff>447675</xdr:colOff>
      <xdr:row>42</xdr:row>
      <xdr:rowOff>142875</xdr:rowOff>
    </xdr:to>
    <xdr:cxnSp macro="">
      <xdr:nvCxnSpPr>
        <xdr:cNvPr id="32185" name="Straight Connector 44"/>
        <xdr:cNvCxnSpPr>
          <a:cxnSpLocks noChangeShapeType="1"/>
        </xdr:cNvCxnSpPr>
      </xdr:nvCxnSpPr>
      <xdr:spPr bwMode="auto">
        <a:xfrm>
          <a:off x="4629150" y="12344400"/>
          <a:ext cx="2000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41</xdr:row>
      <xdr:rowOff>142875</xdr:rowOff>
    </xdr:from>
    <xdr:to>
      <xdr:col>5</xdr:col>
      <xdr:colOff>295275</xdr:colOff>
      <xdr:row>41</xdr:row>
      <xdr:rowOff>142875</xdr:rowOff>
    </xdr:to>
    <xdr:cxnSp macro="">
      <xdr:nvCxnSpPr>
        <xdr:cNvPr id="32186" name="Straight Connector 40"/>
        <xdr:cNvCxnSpPr>
          <a:cxnSpLocks noChangeShapeType="1"/>
        </xdr:cNvCxnSpPr>
      </xdr:nvCxnSpPr>
      <xdr:spPr bwMode="auto">
        <a:xfrm>
          <a:off x="4429125" y="12049125"/>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43</xdr:row>
      <xdr:rowOff>142875</xdr:rowOff>
    </xdr:from>
    <xdr:to>
      <xdr:col>5</xdr:col>
      <xdr:colOff>285750</xdr:colOff>
      <xdr:row>43</xdr:row>
      <xdr:rowOff>142875</xdr:rowOff>
    </xdr:to>
    <xdr:cxnSp macro="">
      <xdr:nvCxnSpPr>
        <xdr:cNvPr id="32187" name="Straight Connector 41"/>
        <xdr:cNvCxnSpPr>
          <a:cxnSpLocks noChangeShapeType="1"/>
        </xdr:cNvCxnSpPr>
      </xdr:nvCxnSpPr>
      <xdr:spPr bwMode="auto">
        <a:xfrm>
          <a:off x="4429125" y="1263967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266700</xdr:colOff>
      <xdr:row>41</xdr:row>
      <xdr:rowOff>142875</xdr:rowOff>
    </xdr:from>
    <xdr:to>
      <xdr:col>5</xdr:col>
      <xdr:colOff>266700</xdr:colOff>
      <xdr:row>43</xdr:row>
      <xdr:rowOff>142875</xdr:rowOff>
    </xdr:to>
    <xdr:cxnSp macro="">
      <xdr:nvCxnSpPr>
        <xdr:cNvPr id="32188" name="Straight Connector 59"/>
        <xdr:cNvCxnSpPr>
          <a:cxnSpLocks noChangeShapeType="1"/>
        </xdr:cNvCxnSpPr>
      </xdr:nvCxnSpPr>
      <xdr:spPr bwMode="auto">
        <a:xfrm rot="5400000">
          <a:off x="4352925" y="12344400"/>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238125</xdr:colOff>
      <xdr:row>53</xdr:row>
      <xdr:rowOff>142875</xdr:rowOff>
    </xdr:from>
    <xdr:to>
      <xdr:col>8</xdr:col>
      <xdr:colOff>457200</xdr:colOff>
      <xdr:row>53</xdr:row>
      <xdr:rowOff>142875</xdr:rowOff>
    </xdr:to>
    <xdr:cxnSp macro="">
      <xdr:nvCxnSpPr>
        <xdr:cNvPr id="32189" name="Straight Connector 44"/>
        <xdr:cNvCxnSpPr>
          <a:cxnSpLocks noChangeShapeType="1"/>
        </xdr:cNvCxnSpPr>
      </xdr:nvCxnSpPr>
      <xdr:spPr bwMode="auto">
        <a:xfrm>
          <a:off x="7048500" y="15592425"/>
          <a:ext cx="219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52</xdr:row>
      <xdr:rowOff>114300</xdr:rowOff>
    </xdr:from>
    <xdr:to>
      <xdr:col>8</xdr:col>
      <xdr:colOff>257175</xdr:colOff>
      <xdr:row>52</xdr:row>
      <xdr:rowOff>114300</xdr:rowOff>
    </xdr:to>
    <xdr:cxnSp macro="">
      <xdr:nvCxnSpPr>
        <xdr:cNvPr id="32190" name="Straight Connector 40"/>
        <xdr:cNvCxnSpPr>
          <a:cxnSpLocks noChangeShapeType="1"/>
        </xdr:cNvCxnSpPr>
      </xdr:nvCxnSpPr>
      <xdr:spPr bwMode="auto">
        <a:xfrm>
          <a:off x="6829425" y="1526857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54</xdr:row>
      <xdr:rowOff>114300</xdr:rowOff>
    </xdr:from>
    <xdr:to>
      <xdr:col>8</xdr:col>
      <xdr:colOff>247650</xdr:colOff>
      <xdr:row>54</xdr:row>
      <xdr:rowOff>114300</xdr:rowOff>
    </xdr:to>
    <xdr:cxnSp macro="">
      <xdr:nvCxnSpPr>
        <xdr:cNvPr id="32191" name="Straight Connector 41"/>
        <xdr:cNvCxnSpPr>
          <a:cxnSpLocks noChangeShapeType="1"/>
        </xdr:cNvCxnSpPr>
      </xdr:nvCxnSpPr>
      <xdr:spPr bwMode="auto">
        <a:xfrm>
          <a:off x="6829425" y="1585912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238125</xdr:colOff>
      <xdr:row>52</xdr:row>
      <xdr:rowOff>114300</xdr:rowOff>
    </xdr:from>
    <xdr:to>
      <xdr:col>8</xdr:col>
      <xdr:colOff>238125</xdr:colOff>
      <xdr:row>54</xdr:row>
      <xdr:rowOff>114300</xdr:rowOff>
    </xdr:to>
    <xdr:cxnSp macro="">
      <xdr:nvCxnSpPr>
        <xdr:cNvPr id="32192" name="Straight Connector 59"/>
        <xdr:cNvCxnSpPr>
          <a:cxnSpLocks noChangeShapeType="1"/>
        </xdr:cNvCxnSpPr>
      </xdr:nvCxnSpPr>
      <xdr:spPr bwMode="auto">
        <a:xfrm rot="5400000">
          <a:off x="6753225" y="15563850"/>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238125</xdr:colOff>
      <xdr:row>47</xdr:row>
      <xdr:rowOff>161925</xdr:rowOff>
    </xdr:from>
    <xdr:to>
      <xdr:col>14</xdr:col>
      <xdr:colOff>457200</xdr:colOff>
      <xdr:row>47</xdr:row>
      <xdr:rowOff>161925</xdr:rowOff>
    </xdr:to>
    <xdr:cxnSp macro="">
      <xdr:nvCxnSpPr>
        <xdr:cNvPr id="32193" name="Straight Connector 44"/>
        <xdr:cNvCxnSpPr>
          <a:cxnSpLocks noChangeShapeType="1"/>
        </xdr:cNvCxnSpPr>
      </xdr:nvCxnSpPr>
      <xdr:spPr bwMode="auto">
        <a:xfrm>
          <a:off x="11906250" y="13839825"/>
          <a:ext cx="219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xdr:colOff>
      <xdr:row>44</xdr:row>
      <xdr:rowOff>161925</xdr:rowOff>
    </xdr:from>
    <xdr:to>
      <xdr:col>14</xdr:col>
      <xdr:colOff>257175</xdr:colOff>
      <xdr:row>44</xdr:row>
      <xdr:rowOff>161925</xdr:rowOff>
    </xdr:to>
    <xdr:cxnSp macro="">
      <xdr:nvCxnSpPr>
        <xdr:cNvPr id="32194" name="Straight Connector 40"/>
        <xdr:cNvCxnSpPr>
          <a:cxnSpLocks noChangeShapeType="1"/>
        </xdr:cNvCxnSpPr>
      </xdr:nvCxnSpPr>
      <xdr:spPr bwMode="auto">
        <a:xfrm>
          <a:off x="11696700" y="12954000"/>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xdr:colOff>
      <xdr:row>51</xdr:row>
      <xdr:rowOff>152400</xdr:rowOff>
    </xdr:from>
    <xdr:to>
      <xdr:col>14</xdr:col>
      <xdr:colOff>266700</xdr:colOff>
      <xdr:row>51</xdr:row>
      <xdr:rowOff>152400</xdr:rowOff>
    </xdr:to>
    <xdr:cxnSp macro="">
      <xdr:nvCxnSpPr>
        <xdr:cNvPr id="32195" name="Straight Connector 41"/>
        <xdr:cNvCxnSpPr>
          <a:cxnSpLocks noChangeShapeType="1"/>
        </xdr:cNvCxnSpPr>
      </xdr:nvCxnSpPr>
      <xdr:spPr bwMode="auto">
        <a:xfrm>
          <a:off x="11696700" y="15011400"/>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247650</xdr:colOff>
      <xdr:row>44</xdr:row>
      <xdr:rowOff>152400</xdr:rowOff>
    </xdr:from>
    <xdr:to>
      <xdr:col>14</xdr:col>
      <xdr:colOff>247650</xdr:colOff>
      <xdr:row>51</xdr:row>
      <xdr:rowOff>161925</xdr:rowOff>
    </xdr:to>
    <xdr:cxnSp macro="">
      <xdr:nvCxnSpPr>
        <xdr:cNvPr id="32196" name="Straight Connector 59"/>
        <xdr:cNvCxnSpPr>
          <a:cxnSpLocks noChangeShapeType="1"/>
        </xdr:cNvCxnSpPr>
      </xdr:nvCxnSpPr>
      <xdr:spPr bwMode="auto">
        <a:xfrm>
          <a:off x="11915775" y="12944475"/>
          <a:ext cx="0" cy="207645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28575</xdr:colOff>
      <xdr:row>47</xdr:row>
      <xdr:rowOff>152400</xdr:rowOff>
    </xdr:from>
    <xdr:to>
      <xdr:col>17</xdr:col>
      <xdr:colOff>276225</xdr:colOff>
      <xdr:row>47</xdr:row>
      <xdr:rowOff>152400</xdr:rowOff>
    </xdr:to>
    <xdr:cxnSp macro="">
      <xdr:nvCxnSpPr>
        <xdr:cNvPr id="32197" name="Straight Connector 40"/>
        <xdr:cNvCxnSpPr>
          <a:cxnSpLocks noChangeShapeType="1"/>
        </xdr:cNvCxnSpPr>
      </xdr:nvCxnSpPr>
      <xdr:spPr bwMode="auto">
        <a:xfrm>
          <a:off x="14125575" y="13830300"/>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19050</xdr:colOff>
      <xdr:row>55</xdr:row>
      <xdr:rowOff>152400</xdr:rowOff>
    </xdr:from>
    <xdr:to>
      <xdr:col>17</xdr:col>
      <xdr:colOff>276225</xdr:colOff>
      <xdr:row>55</xdr:row>
      <xdr:rowOff>152400</xdr:rowOff>
    </xdr:to>
    <xdr:cxnSp macro="">
      <xdr:nvCxnSpPr>
        <xdr:cNvPr id="32198" name="Straight Connector 41"/>
        <xdr:cNvCxnSpPr>
          <a:cxnSpLocks noChangeShapeType="1"/>
        </xdr:cNvCxnSpPr>
      </xdr:nvCxnSpPr>
      <xdr:spPr bwMode="auto">
        <a:xfrm>
          <a:off x="14116050" y="16192500"/>
          <a:ext cx="2571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257175</xdr:colOff>
      <xdr:row>39</xdr:row>
      <xdr:rowOff>152400</xdr:rowOff>
    </xdr:from>
    <xdr:to>
      <xdr:col>17</xdr:col>
      <xdr:colOff>257175</xdr:colOff>
      <xdr:row>55</xdr:row>
      <xdr:rowOff>161925</xdr:rowOff>
    </xdr:to>
    <xdr:cxnSp macro="">
      <xdr:nvCxnSpPr>
        <xdr:cNvPr id="32199" name="Straight Connector 59"/>
        <xdr:cNvCxnSpPr>
          <a:cxnSpLocks noChangeShapeType="1"/>
        </xdr:cNvCxnSpPr>
      </xdr:nvCxnSpPr>
      <xdr:spPr bwMode="auto">
        <a:xfrm rot="5400000">
          <a:off x="11987212" y="13835063"/>
          <a:ext cx="47339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238125</xdr:colOff>
      <xdr:row>55</xdr:row>
      <xdr:rowOff>142875</xdr:rowOff>
    </xdr:from>
    <xdr:to>
      <xdr:col>14</xdr:col>
      <xdr:colOff>457200</xdr:colOff>
      <xdr:row>55</xdr:row>
      <xdr:rowOff>142875</xdr:rowOff>
    </xdr:to>
    <xdr:cxnSp macro="">
      <xdr:nvCxnSpPr>
        <xdr:cNvPr id="32200" name="Straight Connector 44"/>
        <xdr:cNvCxnSpPr>
          <a:cxnSpLocks noChangeShapeType="1"/>
        </xdr:cNvCxnSpPr>
      </xdr:nvCxnSpPr>
      <xdr:spPr bwMode="auto">
        <a:xfrm>
          <a:off x="11906250" y="16182975"/>
          <a:ext cx="219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editAs="oneCell">
    <xdr:from>
      <xdr:col>15</xdr:col>
      <xdr:colOff>1476375</xdr:colOff>
      <xdr:row>21</xdr:row>
      <xdr:rowOff>66675</xdr:rowOff>
    </xdr:from>
    <xdr:to>
      <xdr:col>18</xdr:col>
      <xdr:colOff>266700</xdr:colOff>
      <xdr:row>25</xdr:row>
      <xdr:rowOff>276225</xdr:rowOff>
    </xdr:to>
    <xdr:pic>
      <xdr:nvPicPr>
        <xdr:cNvPr id="32201" name="Picture 1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20750" y="6067425"/>
          <a:ext cx="1076325" cy="1390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200025</xdr:colOff>
      <xdr:row>26</xdr:row>
      <xdr:rowOff>104775</xdr:rowOff>
    </xdr:from>
    <xdr:to>
      <xdr:col>18</xdr:col>
      <xdr:colOff>276225</xdr:colOff>
      <xdr:row>30</xdr:row>
      <xdr:rowOff>28575</xdr:rowOff>
    </xdr:to>
    <xdr:pic>
      <xdr:nvPicPr>
        <xdr:cNvPr id="32202" name="Picture 17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868400" y="7581900"/>
          <a:ext cx="8382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962025</xdr:colOff>
      <xdr:row>14</xdr:row>
      <xdr:rowOff>219075</xdr:rowOff>
    </xdr:from>
    <xdr:to>
      <xdr:col>18</xdr:col>
      <xdr:colOff>257175</xdr:colOff>
      <xdr:row>21</xdr:row>
      <xdr:rowOff>190500</xdr:rowOff>
    </xdr:to>
    <xdr:pic>
      <xdr:nvPicPr>
        <xdr:cNvPr id="32203" name="Picture 17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106400" y="4152900"/>
          <a:ext cx="1581150" cy="2038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14</xdr:col>
      <xdr:colOff>47625</xdr:colOff>
      <xdr:row>10</xdr:row>
      <xdr:rowOff>161925</xdr:rowOff>
    </xdr:from>
    <xdr:to>
      <xdr:col>14</xdr:col>
      <xdr:colOff>285750</xdr:colOff>
      <xdr:row>10</xdr:row>
      <xdr:rowOff>161925</xdr:rowOff>
    </xdr:to>
    <xdr:cxnSp macro="">
      <xdr:nvCxnSpPr>
        <xdr:cNvPr id="32204" name="Straight Connector 41"/>
        <xdr:cNvCxnSpPr>
          <a:cxnSpLocks noChangeShapeType="1"/>
        </xdr:cNvCxnSpPr>
      </xdr:nvCxnSpPr>
      <xdr:spPr bwMode="auto">
        <a:xfrm>
          <a:off x="11715750" y="291465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28575</xdr:colOff>
      <xdr:row>56</xdr:row>
      <xdr:rowOff>161925</xdr:rowOff>
    </xdr:from>
    <xdr:to>
      <xdr:col>11</xdr:col>
      <xdr:colOff>447675</xdr:colOff>
      <xdr:row>58</xdr:row>
      <xdr:rowOff>161925</xdr:rowOff>
    </xdr:to>
    <xdr:grpSp>
      <xdr:nvGrpSpPr>
        <xdr:cNvPr id="32205" name="Group 181"/>
        <xdr:cNvGrpSpPr>
          <a:grpSpLocks/>
        </xdr:cNvGrpSpPr>
      </xdr:nvGrpSpPr>
      <xdr:grpSpPr bwMode="auto">
        <a:xfrm>
          <a:off x="9299575" y="16329025"/>
          <a:ext cx="419100" cy="584200"/>
          <a:chOff x="197" y="863"/>
          <a:chExt cx="45" cy="62"/>
        </a:xfrm>
      </xdr:grpSpPr>
      <xdr:cxnSp macro="">
        <xdr:nvCxnSpPr>
          <xdr:cNvPr id="32214"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15"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16"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2217"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14</xdr:col>
      <xdr:colOff>28575</xdr:colOff>
      <xdr:row>55</xdr:row>
      <xdr:rowOff>142875</xdr:rowOff>
    </xdr:from>
    <xdr:to>
      <xdr:col>14</xdr:col>
      <xdr:colOff>266700</xdr:colOff>
      <xdr:row>55</xdr:row>
      <xdr:rowOff>142875</xdr:rowOff>
    </xdr:to>
    <xdr:cxnSp macro="">
      <xdr:nvCxnSpPr>
        <xdr:cNvPr id="32206" name="Straight Connector 40"/>
        <xdr:cNvCxnSpPr>
          <a:cxnSpLocks noChangeShapeType="1"/>
        </xdr:cNvCxnSpPr>
      </xdr:nvCxnSpPr>
      <xdr:spPr bwMode="auto">
        <a:xfrm>
          <a:off x="11696700" y="1618297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xdr:colOff>
      <xdr:row>57</xdr:row>
      <xdr:rowOff>142875</xdr:rowOff>
    </xdr:from>
    <xdr:to>
      <xdr:col>14</xdr:col>
      <xdr:colOff>257175</xdr:colOff>
      <xdr:row>57</xdr:row>
      <xdr:rowOff>142875</xdr:rowOff>
    </xdr:to>
    <xdr:cxnSp macro="">
      <xdr:nvCxnSpPr>
        <xdr:cNvPr id="32207" name="Straight Connector 41"/>
        <xdr:cNvCxnSpPr>
          <a:cxnSpLocks noChangeShapeType="1"/>
        </xdr:cNvCxnSpPr>
      </xdr:nvCxnSpPr>
      <xdr:spPr bwMode="auto">
        <a:xfrm>
          <a:off x="11696700" y="1677352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247650</xdr:colOff>
      <xdr:row>55</xdr:row>
      <xdr:rowOff>161925</xdr:rowOff>
    </xdr:from>
    <xdr:to>
      <xdr:col>14</xdr:col>
      <xdr:colOff>247650</xdr:colOff>
      <xdr:row>57</xdr:row>
      <xdr:rowOff>161925</xdr:rowOff>
    </xdr:to>
    <xdr:cxnSp macro="">
      <xdr:nvCxnSpPr>
        <xdr:cNvPr id="32208" name="Straight Connector 59"/>
        <xdr:cNvCxnSpPr>
          <a:cxnSpLocks noChangeShapeType="1"/>
        </xdr:cNvCxnSpPr>
      </xdr:nvCxnSpPr>
      <xdr:spPr bwMode="auto">
        <a:xfrm rot="5400000">
          <a:off x="11620500" y="16497300"/>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85725</xdr:colOff>
      <xdr:row>59</xdr:row>
      <xdr:rowOff>180975</xdr:rowOff>
    </xdr:from>
    <xdr:to>
      <xdr:col>2</xdr:col>
      <xdr:colOff>400050</xdr:colOff>
      <xdr:row>59</xdr:row>
      <xdr:rowOff>180975</xdr:rowOff>
    </xdr:to>
    <xdr:cxnSp macro="">
      <xdr:nvCxnSpPr>
        <xdr:cNvPr id="32209" name="Straight Connector 40"/>
        <xdr:cNvCxnSpPr>
          <a:cxnSpLocks noChangeShapeType="1"/>
        </xdr:cNvCxnSpPr>
      </xdr:nvCxnSpPr>
      <xdr:spPr bwMode="auto">
        <a:xfrm>
          <a:off x="2038350" y="17402175"/>
          <a:ext cx="3143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228600</xdr:colOff>
      <xdr:row>51</xdr:row>
      <xdr:rowOff>161925</xdr:rowOff>
    </xdr:from>
    <xdr:to>
      <xdr:col>11</xdr:col>
      <xdr:colOff>447675</xdr:colOff>
      <xdr:row>51</xdr:row>
      <xdr:rowOff>161925</xdr:rowOff>
    </xdr:to>
    <xdr:cxnSp macro="">
      <xdr:nvCxnSpPr>
        <xdr:cNvPr id="32210" name="Straight Connector 44"/>
        <xdr:cNvCxnSpPr>
          <a:cxnSpLocks noChangeShapeType="1"/>
        </xdr:cNvCxnSpPr>
      </xdr:nvCxnSpPr>
      <xdr:spPr bwMode="auto">
        <a:xfrm>
          <a:off x="9467850" y="15020925"/>
          <a:ext cx="219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28575</xdr:colOff>
      <xdr:row>50</xdr:row>
      <xdr:rowOff>152400</xdr:rowOff>
    </xdr:from>
    <xdr:to>
      <xdr:col>11</xdr:col>
      <xdr:colOff>266700</xdr:colOff>
      <xdr:row>50</xdr:row>
      <xdr:rowOff>152400</xdr:rowOff>
    </xdr:to>
    <xdr:cxnSp macro="">
      <xdr:nvCxnSpPr>
        <xdr:cNvPr id="32211" name="Straight Connector 40"/>
        <xdr:cNvCxnSpPr>
          <a:cxnSpLocks noChangeShapeType="1"/>
        </xdr:cNvCxnSpPr>
      </xdr:nvCxnSpPr>
      <xdr:spPr bwMode="auto">
        <a:xfrm>
          <a:off x="9267825" y="1471612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28575</xdr:colOff>
      <xdr:row>53</xdr:row>
      <xdr:rowOff>142875</xdr:rowOff>
    </xdr:from>
    <xdr:to>
      <xdr:col>11</xdr:col>
      <xdr:colOff>257175</xdr:colOff>
      <xdr:row>53</xdr:row>
      <xdr:rowOff>142875</xdr:rowOff>
    </xdr:to>
    <xdr:cxnSp macro="">
      <xdr:nvCxnSpPr>
        <xdr:cNvPr id="32212" name="Straight Connector 41"/>
        <xdr:cNvCxnSpPr>
          <a:cxnSpLocks noChangeShapeType="1"/>
        </xdr:cNvCxnSpPr>
      </xdr:nvCxnSpPr>
      <xdr:spPr bwMode="auto">
        <a:xfrm>
          <a:off x="9267825" y="1559242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247650</xdr:colOff>
      <xdr:row>50</xdr:row>
      <xdr:rowOff>152400</xdr:rowOff>
    </xdr:from>
    <xdr:to>
      <xdr:col>11</xdr:col>
      <xdr:colOff>247650</xdr:colOff>
      <xdr:row>53</xdr:row>
      <xdr:rowOff>142875</xdr:rowOff>
    </xdr:to>
    <xdr:cxnSp macro="">
      <xdr:nvCxnSpPr>
        <xdr:cNvPr id="32213" name="Straight Connector 59"/>
        <xdr:cNvCxnSpPr>
          <a:cxnSpLocks noChangeShapeType="1"/>
        </xdr:cNvCxnSpPr>
      </xdr:nvCxnSpPr>
      <xdr:spPr bwMode="auto">
        <a:xfrm rot="5400000">
          <a:off x="9048750" y="15154275"/>
          <a:ext cx="8763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53</xdr:row>
      <xdr:rowOff>28575</xdr:rowOff>
    </xdr:from>
    <xdr:to>
      <xdr:col>17</xdr:col>
      <xdr:colOff>428625</xdr:colOff>
      <xdr:row>53</xdr:row>
      <xdr:rowOff>190500</xdr:rowOff>
    </xdr:to>
    <xdr:sp macro="" textlink="">
      <xdr:nvSpPr>
        <xdr:cNvPr id="32967" name="AutoShape 1"/>
        <xdr:cNvSpPr>
          <a:spLocks noChangeArrowheads="1"/>
        </xdr:cNvSpPr>
      </xdr:nvSpPr>
      <xdr:spPr bwMode="auto">
        <a:xfrm>
          <a:off x="0" y="15478125"/>
          <a:ext cx="14525625" cy="161925"/>
        </a:xfrm>
        <a:prstGeom prst="flowChartAlternateProcess">
          <a:avLst/>
        </a:prstGeom>
        <a:gradFill rotWithShape="1">
          <a:gsLst>
            <a:gs pos="0">
              <a:srgbClr val="333399"/>
            </a:gs>
            <a:gs pos="100000">
              <a:srgbClr val="FFFFFF"/>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18</xdr:col>
      <xdr:colOff>0</xdr:colOff>
      <xdr:row>0</xdr:row>
      <xdr:rowOff>142875</xdr:rowOff>
    </xdr:to>
    <xdr:sp macro="" textlink="">
      <xdr:nvSpPr>
        <xdr:cNvPr id="32968" name="AutoShape 2"/>
        <xdr:cNvSpPr>
          <a:spLocks noChangeArrowheads="1"/>
        </xdr:cNvSpPr>
      </xdr:nvSpPr>
      <xdr:spPr bwMode="auto">
        <a:xfrm>
          <a:off x="0" y="0"/>
          <a:ext cx="14535150" cy="142875"/>
        </a:xfrm>
        <a:prstGeom prst="flowChartAlternateProcess">
          <a:avLst/>
        </a:prstGeom>
        <a:gradFill rotWithShape="1">
          <a:gsLst>
            <a:gs pos="0">
              <a:srgbClr val="000000"/>
            </a:gs>
            <a:gs pos="100000">
              <a:srgbClr val="FFFFFF"/>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485775</xdr:colOff>
      <xdr:row>50</xdr:row>
      <xdr:rowOff>9525</xdr:rowOff>
    </xdr:from>
    <xdr:to>
      <xdr:col>17</xdr:col>
      <xdr:colOff>419100</xdr:colOff>
      <xdr:row>52</xdr:row>
      <xdr:rowOff>0</xdr:rowOff>
    </xdr:to>
    <xdr:sp macro="" textlink="">
      <xdr:nvSpPr>
        <xdr:cNvPr id="11267" name="AutoShape 3"/>
        <xdr:cNvSpPr>
          <a:spLocks noChangeArrowheads="1"/>
        </xdr:cNvSpPr>
      </xdr:nvSpPr>
      <xdr:spPr bwMode="auto">
        <a:xfrm>
          <a:off x="5343525" y="14573250"/>
          <a:ext cx="9172575" cy="581025"/>
        </a:xfrm>
        <a:prstGeom prst="flowChartAlternateProcess">
          <a:avLst/>
        </a:prstGeom>
        <a:noFill/>
        <a:ln w="25400">
          <a:solidFill>
            <a:srgbClr val="666699"/>
          </a:solidFill>
          <a:miter lim="800000"/>
          <a:headEnd/>
          <a:tailEnd/>
        </a:ln>
      </xdr:spPr>
      <xdr:txBody>
        <a:bodyPr vertOverflow="clip" wrap="square" lIns="54864" tIns="54864" rIns="54864" bIns="54864" anchor="ctr" upright="1"/>
        <a:lstStyle/>
        <a:p>
          <a:pPr algn="ctr" rtl="0">
            <a:defRPr sz="1000"/>
          </a:pPr>
          <a:r>
            <a:rPr lang="pt-PT" sz="2800" b="1" i="0" u="none" strike="noStrike" baseline="0">
              <a:solidFill>
                <a:srgbClr val="666699"/>
              </a:solidFill>
              <a:latin typeface="Calibri"/>
            </a:rPr>
            <a:t>Quem perde na Tabela azul</a:t>
          </a:r>
          <a:r>
            <a:rPr lang="pt-PT" sz="2800" b="1" i="0" u="none" strike="noStrike" baseline="0">
              <a:solidFill>
                <a:srgbClr val="000000"/>
              </a:solidFill>
              <a:latin typeface="Calibri"/>
            </a:rPr>
            <a:t>, termina o torneio.</a:t>
          </a:r>
        </a:p>
      </xdr:txBody>
    </xdr:sp>
    <xdr:clientData/>
  </xdr:twoCellAnchor>
  <xdr:twoCellAnchor>
    <xdr:from>
      <xdr:col>6</xdr:col>
      <xdr:colOff>123825</xdr:colOff>
      <xdr:row>2</xdr:row>
      <xdr:rowOff>76200</xdr:rowOff>
    </xdr:from>
    <xdr:to>
      <xdr:col>17</xdr:col>
      <xdr:colOff>428625</xdr:colOff>
      <xdr:row>3</xdr:row>
      <xdr:rowOff>257175</xdr:rowOff>
    </xdr:to>
    <xdr:sp macro="" textlink="">
      <xdr:nvSpPr>
        <xdr:cNvPr id="11268" name="AutoShape 4"/>
        <xdr:cNvSpPr>
          <a:spLocks noChangeArrowheads="1"/>
        </xdr:cNvSpPr>
      </xdr:nvSpPr>
      <xdr:spPr bwMode="auto">
        <a:xfrm>
          <a:off x="4981575" y="428625"/>
          <a:ext cx="9544050" cy="514350"/>
        </a:xfrm>
        <a:prstGeom prst="flowChartAlternateProcess">
          <a:avLst/>
        </a:prstGeom>
        <a:noFill/>
        <a:ln w="25400">
          <a:solidFill>
            <a:srgbClr val="808080"/>
          </a:solidFill>
          <a:miter lim="800000"/>
          <a:headEnd/>
          <a:tailEnd/>
        </a:ln>
      </xdr:spPr>
      <xdr:txBody>
        <a:bodyPr vertOverflow="clip" wrap="square" lIns="54864" tIns="54864" rIns="54864" bIns="54864" anchor="ctr" upright="1"/>
        <a:lstStyle/>
        <a:p>
          <a:pPr algn="ctr" rtl="0">
            <a:defRPr sz="1000"/>
          </a:pPr>
          <a:r>
            <a:rPr lang="pt-PT" sz="2800" b="1" i="0" u="none" strike="noStrike" baseline="0">
              <a:solidFill>
                <a:srgbClr val="808080"/>
              </a:solidFill>
              <a:latin typeface="Calibri"/>
            </a:rPr>
            <a:t>Quem perde na Tabela cinzenta</a:t>
          </a:r>
          <a:r>
            <a:rPr lang="pt-PT" sz="2800" b="1" i="0" u="none" strike="noStrike" baseline="0">
              <a:solidFill>
                <a:srgbClr val="000000"/>
              </a:solidFill>
              <a:latin typeface="Calibri"/>
            </a:rPr>
            <a:t>, </a:t>
          </a:r>
          <a:r>
            <a:rPr lang="pt-PT" sz="2800" b="1" i="0" u="none" strike="noStrike" baseline="0">
              <a:solidFill>
                <a:srgbClr val="666699"/>
              </a:solidFill>
              <a:latin typeface="Calibri"/>
            </a:rPr>
            <a:t>passa para a azul.</a:t>
          </a:r>
        </a:p>
      </xdr:txBody>
    </xdr:sp>
    <xdr:clientData/>
  </xdr:twoCellAnchor>
  <xdr:twoCellAnchor>
    <xdr:from>
      <xdr:col>2</xdr:col>
      <xdr:colOff>19050</xdr:colOff>
      <xdr:row>3</xdr:row>
      <xdr:rowOff>152400</xdr:rowOff>
    </xdr:from>
    <xdr:to>
      <xdr:col>3</xdr:col>
      <xdr:colOff>0</xdr:colOff>
      <xdr:row>5</xdr:row>
      <xdr:rowOff>152400</xdr:rowOff>
    </xdr:to>
    <xdr:grpSp>
      <xdr:nvGrpSpPr>
        <xdr:cNvPr id="32971" name="Group 5"/>
        <xdr:cNvGrpSpPr>
          <a:grpSpLocks/>
        </xdr:cNvGrpSpPr>
      </xdr:nvGrpSpPr>
      <xdr:grpSpPr bwMode="auto">
        <a:xfrm>
          <a:off x="1974850" y="838200"/>
          <a:ext cx="463550" cy="584200"/>
          <a:chOff x="205" y="88"/>
          <a:chExt cx="48" cy="62"/>
        </a:xfrm>
      </xdr:grpSpPr>
      <xdr:cxnSp macro="">
        <xdr:nvCxnSpPr>
          <xdr:cNvPr id="33108"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109"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110"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111"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7</xdr:row>
      <xdr:rowOff>152400</xdr:rowOff>
    </xdr:from>
    <xdr:to>
      <xdr:col>3</xdr:col>
      <xdr:colOff>0</xdr:colOff>
      <xdr:row>9</xdr:row>
      <xdr:rowOff>152400</xdr:rowOff>
    </xdr:to>
    <xdr:grpSp>
      <xdr:nvGrpSpPr>
        <xdr:cNvPr id="32972" name="Group 10"/>
        <xdr:cNvGrpSpPr>
          <a:grpSpLocks/>
        </xdr:cNvGrpSpPr>
      </xdr:nvGrpSpPr>
      <xdr:grpSpPr bwMode="auto">
        <a:xfrm>
          <a:off x="1974850" y="2006600"/>
          <a:ext cx="463550" cy="584200"/>
          <a:chOff x="205" y="88"/>
          <a:chExt cx="48" cy="62"/>
        </a:xfrm>
      </xdr:grpSpPr>
      <xdr:cxnSp macro="">
        <xdr:nvCxnSpPr>
          <xdr:cNvPr id="33104"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105"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106"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107"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11</xdr:row>
      <xdr:rowOff>161925</xdr:rowOff>
    </xdr:from>
    <xdr:to>
      <xdr:col>3</xdr:col>
      <xdr:colOff>0</xdr:colOff>
      <xdr:row>13</xdr:row>
      <xdr:rowOff>161925</xdr:rowOff>
    </xdr:to>
    <xdr:grpSp>
      <xdr:nvGrpSpPr>
        <xdr:cNvPr id="32973" name="Group 15"/>
        <xdr:cNvGrpSpPr>
          <a:grpSpLocks/>
        </xdr:cNvGrpSpPr>
      </xdr:nvGrpSpPr>
      <xdr:grpSpPr bwMode="auto">
        <a:xfrm>
          <a:off x="1974850" y="3184525"/>
          <a:ext cx="463550" cy="584200"/>
          <a:chOff x="205" y="88"/>
          <a:chExt cx="48" cy="62"/>
        </a:xfrm>
      </xdr:grpSpPr>
      <xdr:cxnSp macro="">
        <xdr:nvCxnSpPr>
          <xdr:cNvPr id="33100"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101"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102"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103"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15</xdr:row>
      <xdr:rowOff>152400</xdr:rowOff>
    </xdr:from>
    <xdr:to>
      <xdr:col>3</xdr:col>
      <xdr:colOff>0</xdr:colOff>
      <xdr:row>17</xdr:row>
      <xdr:rowOff>152400</xdr:rowOff>
    </xdr:to>
    <xdr:grpSp>
      <xdr:nvGrpSpPr>
        <xdr:cNvPr id="32974" name="Group 20"/>
        <xdr:cNvGrpSpPr>
          <a:grpSpLocks/>
        </xdr:cNvGrpSpPr>
      </xdr:nvGrpSpPr>
      <xdr:grpSpPr bwMode="auto">
        <a:xfrm>
          <a:off x="1974850" y="4343400"/>
          <a:ext cx="463550" cy="584200"/>
          <a:chOff x="205" y="88"/>
          <a:chExt cx="48" cy="62"/>
        </a:xfrm>
      </xdr:grpSpPr>
      <xdr:cxnSp macro="">
        <xdr:nvCxnSpPr>
          <xdr:cNvPr id="33096"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97"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98"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99"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19</xdr:row>
      <xdr:rowOff>142875</xdr:rowOff>
    </xdr:from>
    <xdr:to>
      <xdr:col>3</xdr:col>
      <xdr:colOff>0</xdr:colOff>
      <xdr:row>21</xdr:row>
      <xdr:rowOff>142875</xdr:rowOff>
    </xdr:to>
    <xdr:grpSp>
      <xdr:nvGrpSpPr>
        <xdr:cNvPr id="32975" name="Group 25"/>
        <xdr:cNvGrpSpPr>
          <a:grpSpLocks/>
        </xdr:cNvGrpSpPr>
      </xdr:nvGrpSpPr>
      <xdr:grpSpPr bwMode="auto">
        <a:xfrm>
          <a:off x="1974850" y="5502275"/>
          <a:ext cx="463550" cy="584200"/>
          <a:chOff x="205" y="88"/>
          <a:chExt cx="48" cy="62"/>
        </a:xfrm>
      </xdr:grpSpPr>
      <xdr:cxnSp macro="">
        <xdr:nvCxnSpPr>
          <xdr:cNvPr id="33092"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93"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94"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95"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23</xdr:row>
      <xdr:rowOff>161925</xdr:rowOff>
    </xdr:from>
    <xdr:to>
      <xdr:col>3</xdr:col>
      <xdr:colOff>0</xdr:colOff>
      <xdr:row>25</xdr:row>
      <xdr:rowOff>161925</xdr:rowOff>
    </xdr:to>
    <xdr:grpSp>
      <xdr:nvGrpSpPr>
        <xdr:cNvPr id="32976" name="Group 30"/>
        <xdr:cNvGrpSpPr>
          <a:grpSpLocks/>
        </xdr:cNvGrpSpPr>
      </xdr:nvGrpSpPr>
      <xdr:grpSpPr bwMode="auto">
        <a:xfrm>
          <a:off x="1974850" y="6689725"/>
          <a:ext cx="463550" cy="584200"/>
          <a:chOff x="205" y="88"/>
          <a:chExt cx="48" cy="62"/>
        </a:xfrm>
      </xdr:grpSpPr>
      <xdr:cxnSp macro="">
        <xdr:nvCxnSpPr>
          <xdr:cNvPr id="33088"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89"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90"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91"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19050</xdr:colOff>
      <xdr:row>4</xdr:row>
      <xdr:rowOff>161925</xdr:rowOff>
    </xdr:from>
    <xdr:to>
      <xdr:col>6</xdr:col>
      <xdr:colOff>0</xdr:colOff>
      <xdr:row>8</xdr:row>
      <xdr:rowOff>161925</xdr:rowOff>
    </xdr:to>
    <xdr:grpSp>
      <xdr:nvGrpSpPr>
        <xdr:cNvPr id="32977" name="Group 35"/>
        <xdr:cNvGrpSpPr>
          <a:grpSpLocks/>
        </xdr:cNvGrpSpPr>
      </xdr:nvGrpSpPr>
      <xdr:grpSpPr bwMode="auto">
        <a:xfrm>
          <a:off x="4413250" y="1139825"/>
          <a:ext cx="463550" cy="1168400"/>
          <a:chOff x="205" y="88"/>
          <a:chExt cx="48" cy="62"/>
        </a:xfrm>
      </xdr:grpSpPr>
      <xdr:cxnSp macro="">
        <xdr:nvCxnSpPr>
          <xdr:cNvPr id="33084"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85"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86"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87"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19050</xdr:colOff>
      <xdr:row>12</xdr:row>
      <xdr:rowOff>161925</xdr:rowOff>
    </xdr:from>
    <xdr:to>
      <xdr:col>6</xdr:col>
      <xdr:colOff>0</xdr:colOff>
      <xdr:row>16</xdr:row>
      <xdr:rowOff>161925</xdr:rowOff>
    </xdr:to>
    <xdr:grpSp>
      <xdr:nvGrpSpPr>
        <xdr:cNvPr id="32978" name="Group 40"/>
        <xdr:cNvGrpSpPr>
          <a:grpSpLocks/>
        </xdr:cNvGrpSpPr>
      </xdr:nvGrpSpPr>
      <xdr:grpSpPr bwMode="auto">
        <a:xfrm>
          <a:off x="4413250" y="3476625"/>
          <a:ext cx="463550" cy="1168400"/>
          <a:chOff x="205" y="88"/>
          <a:chExt cx="48" cy="62"/>
        </a:xfrm>
      </xdr:grpSpPr>
      <xdr:cxnSp macro="">
        <xdr:nvCxnSpPr>
          <xdr:cNvPr id="33080"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81"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82"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83"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257175</xdr:colOff>
      <xdr:row>22</xdr:row>
      <xdr:rowOff>161925</xdr:rowOff>
    </xdr:from>
    <xdr:to>
      <xdr:col>6</xdr:col>
      <xdr:colOff>0</xdr:colOff>
      <xdr:row>22</xdr:row>
      <xdr:rowOff>161925</xdr:rowOff>
    </xdr:to>
    <xdr:cxnSp macro="">
      <xdr:nvCxnSpPr>
        <xdr:cNvPr id="32979" name="Straight Connector 44"/>
        <xdr:cNvCxnSpPr>
          <a:cxnSpLocks noChangeShapeType="1"/>
        </xdr:cNvCxnSpPr>
      </xdr:nvCxnSpPr>
      <xdr:spPr bwMode="auto">
        <a:xfrm>
          <a:off x="4638675" y="6457950"/>
          <a:ext cx="2190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20</xdr:row>
      <xdr:rowOff>161925</xdr:rowOff>
    </xdr:from>
    <xdr:to>
      <xdr:col>5</xdr:col>
      <xdr:colOff>266700</xdr:colOff>
      <xdr:row>20</xdr:row>
      <xdr:rowOff>161925</xdr:rowOff>
    </xdr:to>
    <xdr:cxnSp macro="">
      <xdr:nvCxnSpPr>
        <xdr:cNvPr id="32980" name="Straight Connector 40"/>
        <xdr:cNvCxnSpPr>
          <a:cxnSpLocks noChangeShapeType="1"/>
        </xdr:cNvCxnSpPr>
      </xdr:nvCxnSpPr>
      <xdr:spPr bwMode="auto">
        <a:xfrm>
          <a:off x="4400550" y="5867400"/>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24</xdr:row>
      <xdr:rowOff>161925</xdr:rowOff>
    </xdr:from>
    <xdr:to>
      <xdr:col>5</xdr:col>
      <xdr:colOff>257175</xdr:colOff>
      <xdr:row>24</xdr:row>
      <xdr:rowOff>161925</xdr:rowOff>
    </xdr:to>
    <xdr:cxnSp macro="">
      <xdr:nvCxnSpPr>
        <xdr:cNvPr id="32981" name="Straight Connector 41"/>
        <xdr:cNvCxnSpPr>
          <a:cxnSpLocks noChangeShapeType="1"/>
        </xdr:cNvCxnSpPr>
      </xdr:nvCxnSpPr>
      <xdr:spPr bwMode="auto">
        <a:xfrm>
          <a:off x="4400550" y="70485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20</xdr:row>
      <xdr:rowOff>161925</xdr:rowOff>
    </xdr:from>
    <xdr:to>
      <xdr:col>5</xdr:col>
      <xdr:colOff>257175</xdr:colOff>
      <xdr:row>24</xdr:row>
      <xdr:rowOff>161925</xdr:rowOff>
    </xdr:to>
    <xdr:cxnSp macro="">
      <xdr:nvCxnSpPr>
        <xdr:cNvPr id="32982" name="Straight Connector 59"/>
        <xdr:cNvCxnSpPr>
          <a:cxnSpLocks noChangeShapeType="1"/>
        </xdr:cNvCxnSpPr>
      </xdr:nvCxnSpPr>
      <xdr:spPr bwMode="auto">
        <a:xfrm rot="5400000">
          <a:off x="4048125" y="6457950"/>
          <a:ext cx="11811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6</xdr:row>
      <xdr:rowOff>152400</xdr:rowOff>
    </xdr:from>
    <xdr:to>
      <xdr:col>9</xdr:col>
      <xdr:colOff>0</xdr:colOff>
      <xdr:row>14</xdr:row>
      <xdr:rowOff>171450</xdr:rowOff>
    </xdr:to>
    <xdr:grpSp>
      <xdr:nvGrpSpPr>
        <xdr:cNvPr id="32983" name="Group 49"/>
        <xdr:cNvGrpSpPr>
          <a:grpSpLocks/>
        </xdr:cNvGrpSpPr>
      </xdr:nvGrpSpPr>
      <xdr:grpSpPr bwMode="auto">
        <a:xfrm>
          <a:off x="6851650" y="1714500"/>
          <a:ext cx="463550" cy="2355850"/>
          <a:chOff x="205" y="88"/>
          <a:chExt cx="48" cy="62"/>
        </a:xfrm>
      </xdr:grpSpPr>
      <xdr:cxnSp macro="">
        <xdr:nvCxnSpPr>
          <xdr:cNvPr id="33076"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77"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78"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79"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28575</xdr:colOff>
      <xdr:row>48</xdr:row>
      <xdr:rowOff>152400</xdr:rowOff>
    </xdr:from>
    <xdr:to>
      <xdr:col>2</xdr:col>
      <xdr:colOff>457200</xdr:colOff>
      <xdr:row>50</xdr:row>
      <xdr:rowOff>152400</xdr:rowOff>
    </xdr:to>
    <xdr:grpSp>
      <xdr:nvGrpSpPr>
        <xdr:cNvPr id="32984" name="Group 54"/>
        <xdr:cNvGrpSpPr>
          <a:grpSpLocks/>
        </xdr:cNvGrpSpPr>
      </xdr:nvGrpSpPr>
      <xdr:grpSpPr bwMode="auto">
        <a:xfrm>
          <a:off x="1984375" y="13982700"/>
          <a:ext cx="428625" cy="584200"/>
          <a:chOff x="197" y="863"/>
          <a:chExt cx="45" cy="62"/>
        </a:xfrm>
      </xdr:grpSpPr>
      <xdr:cxnSp macro="">
        <xdr:nvCxnSpPr>
          <xdr:cNvPr id="33072"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73"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74"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75"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28575</xdr:colOff>
      <xdr:row>36</xdr:row>
      <xdr:rowOff>123825</xdr:rowOff>
    </xdr:from>
    <xdr:to>
      <xdr:col>9</xdr:col>
      <xdr:colOff>9525</xdr:colOff>
      <xdr:row>40</xdr:row>
      <xdr:rowOff>142875</xdr:rowOff>
    </xdr:to>
    <xdr:grpSp>
      <xdr:nvGrpSpPr>
        <xdr:cNvPr id="32985" name="Group 59"/>
        <xdr:cNvGrpSpPr>
          <a:grpSpLocks/>
        </xdr:cNvGrpSpPr>
      </xdr:nvGrpSpPr>
      <xdr:grpSpPr bwMode="auto">
        <a:xfrm>
          <a:off x="6861175" y="10448925"/>
          <a:ext cx="463550" cy="1187450"/>
          <a:chOff x="205" y="88"/>
          <a:chExt cx="48" cy="62"/>
        </a:xfrm>
      </xdr:grpSpPr>
      <xdr:cxnSp macro="">
        <xdr:nvCxnSpPr>
          <xdr:cNvPr id="33068" name="Straight Connector 44"/>
          <xdr:cNvCxnSpPr>
            <a:cxnSpLocks noChangeShapeType="1"/>
          </xdr:cNvCxnSpPr>
        </xdr:nvCxnSpPr>
        <xdr:spPr bwMode="auto">
          <a:xfrm>
            <a:off x="230" y="119"/>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69" name="Straight Connector 40"/>
          <xdr:cNvCxnSpPr>
            <a:cxnSpLocks noChangeShapeType="1"/>
          </xdr:cNvCxnSpPr>
        </xdr:nvCxnSpPr>
        <xdr:spPr bwMode="auto">
          <a:xfrm>
            <a:off x="205" y="88"/>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70" name="Straight Connector 41"/>
          <xdr:cNvCxnSpPr>
            <a:cxnSpLocks noChangeShapeType="1"/>
          </xdr:cNvCxnSpPr>
        </xdr:nvCxnSpPr>
        <xdr:spPr bwMode="auto">
          <a:xfrm>
            <a:off x="205" y="150"/>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71" name="Straight Connector 59"/>
          <xdr:cNvCxnSpPr>
            <a:cxnSpLocks noChangeShapeType="1"/>
          </xdr:cNvCxnSpPr>
        </xdr:nvCxnSpPr>
        <xdr:spPr bwMode="auto">
          <a:xfrm rot="5400000">
            <a:off x="199" y="119"/>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11</xdr:col>
      <xdr:colOff>257175</xdr:colOff>
      <xdr:row>33</xdr:row>
      <xdr:rowOff>152400</xdr:rowOff>
    </xdr:from>
    <xdr:to>
      <xdr:col>14</xdr:col>
      <xdr:colOff>447675</xdr:colOff>
      <xdr:row>33</xdr:row>
      <xdr:rowOff>152400</xdr:rowOff>
    </xdr:to>
    <xdr:cxnSp macro="">
      <xdr:nvCxnSpPr>
        <xdr:cNvPr id="32986" name="Straight Connector 44"/>
        <xdr:cNvCxnSpPr>
          <a:cxnSpLocks noChangeShapeType="1"/>
        </xdr:cNvCxnSpPr>
      </xdr:nvCxnSpPr>
      <xdr:spPr bwMode="auto">
        <a:xfrm>
          <a:off x="9496425" y="9696450"/>
          <a:ext cx="26193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19050</xdr:colOff>
      <xdr:row>10</xdr:row>
      <xdr:rowOff>152400</xdr:rowOff>
    </xdr:from>
    <xdr:to>
      <xdr:col>11</xdr:col>
      <xdr:colOff>266700</xdr:colOff>
      <xdr:row>10</xdr:row>
      <xdr:rowOff>152400</xdr:rowOff>
    </xdr:to>
    <xdr:cxnSp macro="">
      <xdr:nvCxnSpPr>
        <xdr:cNvPr id="32987" name="Straight Connector 40"/>
        <xdr:cNvCxnSpPr>
          <a:cxnSpLocks noChangeShapeType="1"/>
        </xdr:cNvCxnSpPr>
      </xdr:nvCxnSpPr>
      <xdr:spPr bwMode="auto">
        <a:xfrm>
          <a:off x="9258300" y="2905125"/>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19050</xdr:colOff>
      <xdr:row>26</xdr:row>
      <xdr:rowOff>142875</xdr:rowOff>
    </xdr:from>
    <xdr:to>
      <xdr:col>11</xdr:col>
      <xdr:colOff>257175</xdr:colOff>
      <xdr:row>26</xdr:row>
      <xdr:rowOff>142875</xdr:rowOff>
    </xdr:to>
    <xdr:cxnSp macro="">
      <xdr:nvCxnSpPr>
        <xdr:cNvPr id="32988" name="Straight Connector 41"/>
        <xdr:cNvCxnSpPr>
          <a:cxnSpLocks noChangeShapeType="1"/>
        </xdr:cNvCxnSpPr>
      </xdr:nvCxnSpPr>
      <xdr:spPr bwMode="auto">
        <a:xfrm>
          <a:off x="9258300" y="76200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257175</xdr:colOff>
      <xdr:row>10</xdr:row>
      <xdr:rowOff>152400</xdr:rowOff>
    </xdr:from>
    <xdr:to>
      <xdr:col>11</xdr:col>
      <xdr:colOff>257175</xdr:colOff>
      <xdr:row>33</xdr:row>
      <xdr:rowOff>161925</xdr:rowOff>
    </xdr:to>
    <xdr:cxnSp macro="">
      <xdr:nvCxnSpPr>
        <xdr:cNvPr id="32989" name="Straight Connector 59"/>
        <xdr:cNvCxnSpPr>
          <a:cxnSpLocks noChangeShapeType="1"/>
        </xdr:cNvCxnSpPr>
      </xdr:nvCxnSpPr>
      <xdr:spPr bwMode="auto">
        <a:xfrm rot="5400000">
          <a:off x="6096000" y="6305550"/>
          <a:ext cx="68008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47</xdr:row>
      <xdr:rowOff>142875</xdr:rowOff>
    </xdr:from>
    <xdr:to>
      <xdr:col>5</xdr:col>
      <xdr:colOff>466725</xdr:colOff>
      <xdr:row>49</xdr:row>
      <xdr:rowOff>142875</xdr:rowOff>
    </xdr:to>
    <xdr:grpSp>
      <xdr:nvGrpSpPr>
        <xdr:cNvPr id="32990" name="Group 79"/>
        <xdr:cNvGrpSpPr>
          <a:grpSpLocks/>
        </xdr:cNvGrpSpPr>
      </xdr:nvGrpSpPr>
      <xdr:grpSpPr bwMode="auto">
        <a:xfrm>
          <a:off x="4441825" y="13681075"/>
          <a:ext cx="419100" cy="584200"/>
          <a:chOff x="197" y="863"/>
          <a:chExt cx="45" cy="62"/>
        </a:xfrm>
      </xdr:grpSpPr>
      <xdr:cxnSp macro="">
        <xdr:nvCxnSpPr>
          <xdr:cNvPr id="33064"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65"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66"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67"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11</xdr:col>
      <xdr:colOff>238125</xdr:colOff>
      <xdr:row>39</xdr:row>
      <xdr:rowOff>152400</xdr:rowOff>
    </xdr:from>
    <xdr:to>
      <xdr:col>11</xdr:col>
      <xdr:colOff>457200</xdr:colOff>
      <xdr:row>39</xdr:row>
      <xdr:rowOff>152400</xdr:rowOff>
    </xdr:to>
    <xdr:cxnSp macro="">
      <xdr:nvCxnSpPr>
        <xdr:cNvPr id="32991" name="Straight Connector 44"/>
        <xdr:cNvCxnSpPr>
          <a:cxnSpLocks noChangeShapeType="1"/>
        </xdr:cNvCxnSpPr>
      </xdr:nvCxnSpPr>
      <xdr:spPr bwMode="auto">
        <a:xfrm>
          <a:off x="9477375" y="11468100"/>
          <a:ext cx="219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28575</xdr:colOff>
      <xdr:row>38</xdr:row>
      <xdr:rowOff>142875</xdr:rowOff>
    </xdr:from>
    <xdr:to>
      <xdr:col>11</xdr:col>
      <xdr:colOff>276225</xdr:colOff>
      <xdr:row>38</xdr:row>
      <xdr:rowOff>142875</xdr:rowOff>
    </xdr:to>
    <xdr:cxnSp macro="">
      <xdr:nvCxnSpPr>
        <xdr:cNvPr id="32992" name="Straight Connector 40"/>
        <xdr:cNvCxnSpPr>
          <a:cxnSpLocks noChangeShapeType="1"/>
        </xdr:cNvCxnSpPr>
      </xdr:nvCxnSpPr>
      <xdr:spPr bwMode="auto">
        <a:xfrm>
          <a:off x="9267825" y="11163300"/>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257175</xdr:colOff>
      <xdr:row>38</xdr:row>
      <xdr:rowOff>114300</xdr:rowOff>
    </xdr:from>
    <xdr:to>
      <xdr:col>11</xdr:col>
      <xdr:colOff>257175</xdr:colOff>
      <xdr:row>41</xdr:row>
      <xdr:rowOff>161925</xdr:rowOff>
    </xdr:to>
    <xdr:cxnSp macro="">
      <xdr:nvCxnSpPr>
        <xdr:cNvPr id="32993" name="Straight Connector 59"/>
        <xdr:cNvCxnSpPr>
          <a:cxnSpLocks noChangeShapeType="1"/>
        </xdr:cNvCxnSpPr>
      </xdr:nvCxnSpPr>
      <xdr:spPr bwMode="auto">
        <a:xfrm rot="5400000">
          <a:off x="9029700" y="11601450"/>
          <a:ext cx="9334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19050</xdr:colOff>
      <xdr:row>27</xdr:row>
      <xdr:rowOff>152400</xdr:rowOff>
    </xdr:from>
    <xdr:to>
      <xdr:col>3</xdr:col>
      <xdr:colOff>0</xdr:colOff>
      <xdr:row>29</xdr:row>
      <xdr:rowOff>152400</xdr:rowOff>
    </xdr:to>
    <xdr:grpSp>
      <xdr:nvGrpSpPr>
        <xdr:cNvPr id="32994" name="Group 102"/>
        <xdr:cNvGrpSpPr>
          <a:grpSpLocks/>
        </xdr:cNvGrpSpPr>
      </xdr:nvGrpSpPr>
      <xdr:grpSpPr bwMode="auto">
        <a:xfrm>
          <a:off x="1974850" y="7848600"/>
          <a:ext cx="463550" cy="584200"/>
          <a:chOff x="205" y="88"/>
          <a:chExt cx="48" cy="62"/>
        </a:xfrm>
      </xdr:grpSpPr>
      <xdr:cxnSp macro="">
        <xdr:nvCxnSpPr>
          <xdr:cNvPr id="33060"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61"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62"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63"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31</xdr:row>
      <xdr:rowOff>152400</xdr:rowOff>
    </xdr:from>
    <xdr:to>
      <xdr:col>3</xdr:col>
      <xdr:colOff>0</xdr:colOff>
      <xdr:row>33</xdr:row>
      <xdr:rowOff>152400</xdr:rowOff>
    </xdr:to>
    <xdr:grpSp>
      <xdr:nvGrpSpPr>
        <xdr:cNvPr id="32995" name="Group 107"/>
        <xdr:cNvGrpSpPr>
          <a:grpSpLocks/>
        </xdr:cNvGrpSpPr>
      </xdr:nvGrpSpPr>
      <xdr:grpSpPr bwMode="auto">
        <a:xfrm>
          <a:off x="1974850" y="9017000"/>
          <a:ext cx="463550" cy="584200"/>
          <a:chOff x="205" y="88"/>
          <a:chExt cx="48" cy="62"/>
        </a:xfrm>
      </xdr:grpSpPr>
      <xdr:cxnSp macro="">
        <xdr:nvCxnSpPr>
          <xdr:cNvPr id="33056"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57"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58"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59"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19050</xdr:colOff>
      <xdr:row>28</xdr:row>
      <xdr:rowOff>161925</xdr:rowOff>
    </xdr:from>
    <xdr:to>
      <xdr:col>6</xdr:col>
      <xdr:colOff>0</xdr:colOff>
      <xdr:row>32</xdr:row>
      <xdr:rowOff>161925</xdr:rowOff>
    </xdr:to>
    <xdr:grpSp>
      <xdr:nvGrpSpPr>
        <xdr:cNvPr id="32996" name="Group 132"/>
        <xdr:cNvGrpSpPr>
          <a:grpSpLocks/>
        </xdr:cNvGrpSpPr>
      </xdr:nvGrpSpPr>
      <xdr:grpSpPr bwMode="auto">
        <a:xfrm>
          <a:off x="4413250" y="8150225"/>
          <a:ext cx="463550" cy="1168400"/>
          <a:chOff x="205" y="88"/>
          <a:chExt cx="48" cy="62"/>
        </a:xfrm>
      </xdr:grpSpPr>
      <xdr:cxnSp macro="">
        <xdr:nvCxnSpPr>
          <xdr:cNvPr id="33052"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53"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54"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55"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28575</xdr:colOff>
      <xdr:row>22</xdr:row>
      <xdr:rowOff>123825</xdr:rowOff>
    </xdr:from>
    <xdr:to>
      <xdr:col>9</xdr:col>
      <xdr:colOff>9525</xdr:colOff>
      <xdr:row>30</xdr:row>
      <xdr:rowOff>142875</xdr:rowOff>
    </xdr:to>
    <xdr:grpSp>
      <xdr:nvGrpSpPr>
        <xdr:cNvPr id="32997" name="Group 150"/>
        <xdr:cNvGrpSpPr>
          <a:grpSpLocks/>
        </xdr:cNvGrpSpPr>
      </xdr:nvGrpSpPr>
      <xdr:grpSpPr bwMode="auto">
        <a:xfrm>
          <a:off x="6861175" y="6359525"/>
          <a:ext cx="463550" cy="2355850"/>
          <a:chOff x="205" y="88"/>
          <a:chExt cx="48" cy="62"/>
        </a:xfrm>
      </xdr:grpSpPr>
      <xdr:cxnSp macro="">
        <xdr:nvCxnSpPr>
          <xdr:cNvPr id="33048"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49"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50"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3051"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28575</xdr:colOff>
      <xdr:row>36</xdr:row>
      <xdr:rowOff>152400</xdr:rowOff>
    </xdr:from>
    <xdr:to>
      <xdr:col>2</xdr:col>
      <xdr:colOff>457200</xdr:colOff>
      <xdr:row>38</xdr:row>
      <xdr:rowOff>152400</xdr:rowOff>
    </xdr:to>
    <xdr:grpSp>
      <xdr:nvGrpSpPr>
        <xdr:cNvPr id="32998" name="Group 159"/>
        <xdr:cNvGrpSpPr>
          <a:grpSpLocks/>
        </xdr:cNvGrpSpPr>
      </xdr:nvGrpSpPr>
      <xdr:grpSpPr bwMode="auto">
        <a:xfrm>
          <a:off x="1984375" y="10477500"/>
          <a:ext cx="428625" cy="584200"/>
          <a:chOff x="197" y="863"/>
          <a:chExt cx="45" cy="62"/>
        </a:xfrm>
      </xdr:grpSpPr>
      <xdr:cxnSp macro="">
        <xdr:nvCxnSpPr>
          <xdr:cNvPr id="33044"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45"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46"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47"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28575</xdr:colOff>
      <xdr:row>40</xdr:row>
      <xdr:rowOff>180975</xdr:rowOff>
    </xdr:from>
    <xdr:to>
      <xdr:col>2</xdr:col>
      <xdr:colOff>457200</xdr:colOff>
      <xdr:row>42</xdr:row>
      <xdr:rowOff>180975</xdr:rowOff>
    </xdr:to>
    <xdr:grpSp>
      <xdr:nvGrpSpPr>
        <xdr:cNvPr id="32999" name="Group 164"/>
        <xdr:cNvGrpSpPr>
          <a:grpSpLocks/>
        </xdr:cNvGrpSpPr>
      </xdr:nvGrpSpPr>
      <xdr:grpSpPr bwMode="auto">
        <a:xfrm>
          <a:off x="1984375" y="11674475"/>
          <a:ext cx="428625" cy="584200"/>
          <a:chOff x="197" y="863"/>
          <a:chExt cx="45" cy="62"/>
        </a:xfrm>
      </xdr:grpSpPr>
      <xdr:cxnSp macro="">
        <xdr:nvCxnSpPr>
          <xdr:cNvPr id="33040"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41"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42"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43"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47625</xdr:colOff>
      <xdr:row>44</xdr:row>
      <xdr:rowOff>152400</xdr:rowOff>
    </xdr:from>
    <xdr:to>
      <xdr:col>2</xdr:col>
      <xdr:colOff>466725</xdr:colOff>
      <xdr:row>46</xdr:row>
      <xdr:rowOff>152400</xdr:rowOff>
    </xdr:to>
    <xdr:grpSp>
      <xdr:nvGrpSpPr>
        <xdr:cNvPr id="33000" name="Group 169"/>
        <xdr:cNvGrpSpPr>
          <a:grpSpLocks/>
        </xdr:cNvGrpSpPr>
      </xdr:nvGrpSpPr>
      <xdr:grpSpPr bwMode="auto">
        <a:xfrm>
          <a:off x="2003425" y="12814300"/>
          <a:ext cx="419100" cy="584200"/>
          <a:chOff x="197" y="863"/>
          <a:chExt cx="45" cy="62"/>
        </a:xfrm>
      </xdr:grpSpPr>
      <xdr:cxnSp macro="">
        <xdr:nvCxnSpPr>
          <xdr:cNvPr id="33036"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37"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38"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39"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28575</xdr:colOff>
      <xdr:row>43</xdr:row>
      <xdr:rowOff>142875</xdr:rowOff>
    </xdr:from>
    <xdr:to>
      <xdr:col>5</xdr:col>
      <xdr:colOff>457200</xdr:colOff>
      <xdr:row>45</xdr:row>
      <xdr:rowOff>142875</xdr:rowOff>
    </xdr:to>
    <xdr:grpSp>
      <xdr:nvGrpSpPr>
        <xdr:cNvPr id="33001" name="Group 174"/>
        <xdr:cNvGrpSpPr>
          <a:grpSpLocks/>
        </xdr:cNvGrpSpPr>
      </xdr:nvGrpSpPr>
      <xdr:grpSpPr bwMode="auto">
        <a:xfrm>
          <a:off x="4422775" y="12512675"/>
          <a:ext cx="428625" cy="584200"/>
          <a:chOff x="197" y="863"/>
          <a:chExt cx="45" cy="62"/>
        </a:xfrm>
      </xdr:grpSpPr>
      <xdr:cxnSp macro="">
        <xdr:nvCxnSpPr>
          <xdr:cNvPr id="33032"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33"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34"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35"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47625</xdr:colOff>
      <xdr:row>39</xdr:row>
      <xdr:rowOff>142875</xdr:rowOff>
    </xdr:from>
    <xdr:to>
      <xdr:col>5</xdr:col>
      <xdr:colOff>457200</xdr:colOff>
      <xdr:row>41</xdr:row>
      <xdr:rowOff>142875</xdr:rowOff>
    </xdr:to>
    <xdr:grpSp>
      <xdr:nvGrpSpPr>
        <xdr:cNvPr id="33002" name="Group 179"/>
        <xdr:cNvGrpSpPr>
          <a:grpSpLocks/>
        </xdr:cNvGrpSpPr>
      </xdr:nvGrpSpPr>
      <xdr:grpSpPr bwMode="auto">
        <a:xfrm>
          <a:off x="4441825" y="11344275"/>
          <a:ext cx="409575" cy="584200"/>
          <a:chOff x="197" y="863"/>
          <a:chExt cx="45" cy="62"/>
        </a:xfrm>
      </xdr:grpSpPr>
      <xdr:cxnSp macro="">
        <xdr:nvCxnSpPr>
          <xdr:cNvPr id="33028"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29"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30"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31"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238125</xdr:colOff>
      <xdr:row>36</xdr:row>
      <xdr:rowOff>142875</xdr:rowOff>
    </xdr:from>
    <xdr:to>
      <xdr:col>5</xdr:col>
      <xdr:colOff>428625</xdr:colOff>
      <xdr:row>36</xdr:row>
      <xdr:rowOff>142875</xdr:rowOff>
    </xdr:to>
    <xdr:cxnSp macro="">
      <xdr:nvCxnSpPr>
        <xdr:cNvPr id="33003" name="Straight Connector 44"/>
        <xdr:cNvCxnSpPr>
          <a:cxnSpLocks noChangeShapeType="1"/>
        </xdr:cNvCxnSpPr>
      </xdr:nvCxnSpPr>
      <xdr:spPr bwMode="auto">
        <a:xfrm>
          <a:off x="4619625" y="10572750"/>
          <a:ext cx="1905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35</xdr:row>
      <xdr:rowOff>142875</xdr:rowOff>
    </xdr:from>
    <xdr:to>
      <xdr:col>5</xdr:col>
      <xdr:colOff>276225</xdr:colOff>
      <xdr:row>35</xdr:row>
      <xdr:rowOff>142875</xdr:rowOff>
    </xdr:to>
    <xdr:cxnSp macro="">
      <xdr:nvCxnSpPr>
        <xdr:cNvPr id="33004" name="Straight Connector 40"/>
        <xdr:cNvCxnSpPr>
          <a:cxnSpLocks noChangeShapeType="1"/>
        </xdr:cNvCxnSpPr>
      </xdr:nvCxnSpPr>
      <xdr:spPr bwMode="auto">
        <a:xfrm>
          <a:off x="4429125" y="1027747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37</xdr:row>
      <xdr:rowOff>142875</xdr:rowOff>
    </xdr:from>
    <xdr:to>
      <xdr:col>5</xdr:col>
      <xdr:colOff>285750</xdr:colOff>
      <xdr:row>37</xdr:row>
      <xdr:rowOff>142875</xdr:rowOff>
    </xdr:to>
    <xdr:cxnSp macro="">
      <xdr:nvCxnSpPr>
        <xdr:cNvPr id="33005" name="Straight Connector 41"/>
        <xdr:cNvCxnSpPr>
          <a:cxnSpLocks noChangeShapeType="1"/>
        </xdr:cNvCxnSpPr>
      </xdr:nvCxnSpPr>
      <xdr:spPr bwMode="auto">
        <a:xfrm>
          <a:off x="4429125" y="1086802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35</xdr:row>
      <xdr:rowOff>142875</xdr:rowOff>
    </xdr:from>
    <xdr:to>
      <xdr:col>5</xdr:col>
      <xdr:colOff>257175</xdr:colOff>
      <xdr:row>37</xdr:row>
      <xdr:rowOff>142875</xdr:rowOff>
    </xdr:to>
    <xdr:cxnSp macro="">
      <xdr:nvCxnSpPr>
        <xdr:cNvPr id="33006" name="Straight Connector 59"/>
        <xdr:cNvCxnSpPr>
          <a:cxnSpLocks noChangeShapeType="1"/>
        </xdr:cNvCxnSpPr>
      </xdr:nvCxnSpPr>
      <xdr:spPr bwMode="auto">
        <a:xfrm rot="5400000">
          <a:off x="4343400" y="10572750"/>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47625</xdr:colOff>
      <xdr:row>46</xdr:row>
      <xdr:rowOff>123825</xdr:rowOff>
    </xdr:from>
    <xdr:to>
      <xdr:col>8</xdr:col>
      <xdr:colOff>457200</xdr:colOff>
      <xdr:row>48</xdr:row>
      <xdr:rowOff>95250</xdr:rowOff>
    </xdr:to>
    <xdr:grpSp>
      <xdr:nvGrpSpPr>
        <xdr:cNvPr id="33007" name="Group 188"/>
        <xdr:cNvGrpSpPr>
          <a:grpSpLocks/>
        </xdr:cNvGrpSpPr>
      </xdr:nvGrpSpPr>
      <xdr:grpSpPr bwMode="auto">
        <a:xfrm>
          <a:off x="6880225" y="13369925"/>
          <a:ext cx="409575" cy="555625"/>
          <a:chOff x="197" y="863"/>
          <a:chExt cx="45" cy="62"/>
        </a:xfrm>
      </xdr:grpSpPr>
      <xdr:cxnSp macro="">
        <xdr:nvCxnSpPr>
          <xdr:cNvPr id="33024" name="Straight Connector 44"/>
          <xdr:cNvCxnSpPr>
            <a:cxnSpLocks noChangeShapeType="1"/>
          </xdr:cNvCxnSpPr>
        </xdr:nvCxnSpPr>
        <xdr:spPr bwMode="auto">
          <a:xfrm>
            <a:off x="219" y="894"/>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25" name="Straight Connector 40"/>
          <xdr:cNvCxnSpPr>
            <a:cxnSpLocks noChangeShapeType="1"/>
          </xdr:cNvCxnSpPr>
        </xdr:nvCxnSpPr>
        <xdr:spPr bwMode="auto">
          <a:xfrm>
            <a:off x="197" y="863"/>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26" name="Straight Connector 41"/>
          <xdr:cNvCxnSpPr>
            <a:cxnSpLocks noChangeShapeType="1"/>
          </xdr:cNvCxnSpPr>
        </xdr:nvCxnSpPr>
        <xdr:spPr bwMode="auto">
          <a:xfrm>
            <a:off x="197" y="925"/>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3027" name="Straight Connector 59"/>
          <xdr:cNvCxnSpPr>
            <a:cxnSpLocks noChangeShapeType="1"/>
          </xdr:cNvCxnSpPr>
        </xdr:nvCxnSpPr>
        <xdr:spPr bwMode="auto">
          <a:xfrm rot="5400000">
            <a:off x="190" y="894"/>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228600</xdr:colOff>
      <xdr:row>41</xdr:row>
      <xdr:rowOff>152400</xdr:rowOff>
    </xdr:from>
    <xdr:to>
      <xdr:col>8</xdr:col>
      <xdr:colOff>447675</xdr:colOff>
      <xdr:row>41</xdr:row>
      <xdr:rowOff>152400</xdr:rowOff>
    </xdr:to>
    <xdr:cxnSp macro="">
      <xdr:nvCxnSpPr>
        <xdr:cNvPr id="33008" name="Straight Connector 44"/>
        <xdr:cNvCxnSpPr>
          <a:cxnSpLocks noChangeShapeType="1"/>
        </xdr:cNvCxnSpPr>
      </xdr:nvCxnSpPr>
      <xdr:spPr bwMode="auto">
        <a:xfrm>
          <a:off x="7038975" y="12058650"/>
          <a:ext cx="219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42</xdr:row>
      <xdr:rowOff>85725</xdr:rowOff>
    </xdr:from>
    <xdr:to>
      <xdr:col>8</xdr:col>
      <xdr:colOff>276225</xdr:colOff>
      <xdr:row>42</xdr:row>
      <xdr:rowOff>85725</xdr:rowOff>
    </xdr:to>
    <xdr:cxnSp macro="">
      <xdr:nvCxnSpPr>
        <xdr:cNvPr id="33009" name="Straight Connector 40"/>
        <xdr:cNvCxnSpPr>
          <a:cxnSpLocks noChangeShapeType="1"/>
        </xdr:cNvCxnSpPr>
      </xdr:nvCxnSpPr>
      <xdr:spPr bwMode="auto">
        <a:xfrm>
          <a:off x="6838950" y="12287250"/>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44</xdr:row>
      <xdr:rowOff>85725</xdr:rowOff>
    </xdr:from>
    <xdr:to>
      <xdr:col>8</xdr:col>
      <xdr:colOff>266700</xdr:colOff>
      <xdr:row>44</xdr:row>
      <xdr:rowOff>85725</xdr:rowOff>
    </xdr:to>
    <xdr:cxnSp macro="">
      <xdr:nvCxnSpPr>
        <xdr:cNvPr id="33010" name="Straight Connector 41"/>
        <xdr:cNvCxnSpPr>
          <a:cxnSpLocks noChangeShapeType="1"/>
        </xdr:cNvCxnSpPr>
      </xdr:nvCxnSpPr>
      <xdr:spPr bwMode="auto">
        <a:xfrm>
          <a:off x="6838950" y="12877800"/>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41</xdr:row>
      <xdr:rowOff>142875</xdr:rowOff>
    </xdr:from>
    <xdr:to>
      <xdr:col>8</xdr:col>
      <xdr:colOff>257175</xdr:colOff>
      <xdr:row>44</xdr:row>
      <xdr:rowOff>85725</xdr:rowOff>
    </xdr:to>
    <xdr:cxnSp macro="">
      <xdr:nvCxnSpPr>
        <xdr:cNvPr id="33011" name="Straight Connector 59"/>
        <xdr:cNvCxnSpPr>
          <a:cxnSpLocks noChangeShapeType="1"/>
        </xdr:cNvCxnSpPr>
      </xdr:nvCxnSpPr>
      <xdr:spPr bwMode="auto">
        <a:xfrm rot="5400000">
          <a:off x="6653212" y="12463463"/>
          <a:ext cx="8286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247650</xdr:colOff>
      <xdr:row>46</xdr:row>
      <xdr:rowOff>152400</xdr:rowOff>
    </xdr:from>
    <xdr:to>
      <xdr:col>11</xdr:col>
      <xdr:colOff>457200</xdr:colOff>
      <xdr:row>46</xdr:row>
      <xdr:rowOff>152400</xdr:rowOff>
    </xdr:to>
    <xdr:cxnSp macro="">
      <xdr:nvCxnSpPr>
        <xdr:cNvPr id="33012" name="Straight Connector 44"/>
        <xdr:cNvCxnSpPr>
          <a:cxnSpLocks noChangeShapeType="1"/>
        </xdr:cNvCxnSpPr>
      </xdr:nvCxnSpPr>
      <xdr:spPr bwMode="auto">
        <a:xfrm>
          <a:off x="9486900" y="13535025"/>
          <a:ext cx="209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47625</xdr:colOff>
      <xdr:row>44</xdr:row>
      <xdr:rowOff>152400</xdr:rowOff>
    </xdr:from>
    <xdr:to>
      <xdr:col>11</xdr:col>
      <xdr:colOff>295275</xdr:colOff>
      <xdr:row>44</xdr:row>
      <xdr:rowOff>152400</xdr:rowOff>
    </xdr:to>
    <xdr:cxnSp macro="">
      <xdr:nvCxnSpPr>
        <xdr:cNvPr id="33013" name="Straight Connector 40"/>
        <xdr:cNvCxnSpPr>
          <a:cxnSpLocks noChangeShapeType="1"/>
        </xdr:cNvCxnSpPr>
      </xdr:nvCxnSpPr>
      <xdr:spPr bwMode="auto">
        <a:xfrm>
          <a:off x="9286875" y="12944475"/>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47625</xdr:colOff>
      <xdr:row>47</xdr:row>
      <xdr:rowOff>152400</xdr:rowOff>
    </xdr:from>
    <xdr:to>
      <xdr:col>11</xdr:col>
      <xdr:colOff>285750</xdr:colOff>
      <xdr:row>47</xdr:row>
      <xdr:rowOff>152400</xdr:rowOff>
    </xdr:to>
    <xdr:cxnSp macro="">
      <xdr:nvCxnSpPr>
        <xdr:cNvPr id="33014" name="Straight Connector 41"/>
        <xdr:cNvCxnSpPr>
          <a:cxnSpLocks noChangeShapeType="1"/>
        </xdr:cNvCxnSpPr>
      </xdr:nvCxnSpPr>
      <xdr:spPr bwMode="auto">
        <a:xfrm>
          <a:off x="9286875" y="13830300"/>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266700</xdr:colOff>
      <xdr:row>44</xdr:row>
      <xdr:rowOff>152400</xdr:rowOff>
    </xdr:from>
    <xdr:to>
      <xdr:col>11</xdr:col>
      <xdr:colOff>266700</xdr:colOff>
      <xdr:row>47</xdr:row>
      <xdr:rowOff>152400</xdr:rowOff>
    </xdr:to>
    <xdr:cxnSp macro="">
      <xdr:nvCxnSpPr>
        <xdr:cNvPr id="33015" name="Straight Connector 59"/>
        <xdr:cNvCxnSpPr>
          <a:cxnSpLocks noChangeShapeType="1"/>
        </xdr:cNvCxnSpPr>
      </xdr:nvCxnSpPr>
      <xdr:spPr bwMode="auto">
        <a:xfrm rot="5400000">
          <a:off x="9063037" y="13387388"/>
          <a:ext cx="8858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228600</xdr:colOff>
      <xdr:row>36</xdr:row>
      <xdr:rowOff>152400</xdr:rowOff>
    </xdr:from>
    <xdr:to>
      <xdr:col>14</xdr:col>
      <xdr:colOff>447675</xdr:colOff>
      <xdr:row>36</xdr:row>
      <xdr:rowOff>152400</xdr:rowOff>
    </xdr:to>
    <xdr:cxnSp macro="">
      <xdr:nvCxnSpPr>
        <xdr:cNvPr id="33016" name="Straight Connector 44"/>
        <xdr:cNvCxnSpPr>
          <a:cxnSpLocks noChangeShapeType="1"/>
        </xdr:cNvCxnSpPr>
      </xdr:nvCxnSpPr>
      <xdr:spPr bwMode="auto">
        <a:xfrm>
          <a:off x="11896725" y="10582275"/>
          <a:ext cx="219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xdr:colOff>
      <xdr:row>39</xdr:row>
      <xdr:rowOff>161925</xdr:rowOff>
    </xdr:from>
    <xdr:to>
      <xdr:col>14</xdr:col>
      <xdr:colOff>257175</xdr:colOff>
      <xdr:row>39</xdr:row>
      <xdr:rowOff>161925</xdr:rowOff>
    </xdr:to>
    <xdr:cxnSp macro="">
      <xdr:nvCxnSpPr>
        <xdr:cNvPr id="33017" name="Straight Connector 40"/>
        <xdr:cNvCxnSpPr>
          <a:cxnSpLocks noChangeShapeType="1"/>
        </xdr:cNvCxnSpPr>
      </xdr:nvCxnSpPr>
      <xdr:spPr bwMode="auto">
        <a:xfrm>
          <a:off x="11696700" y="1147762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xdr:colOff>
      <xdr:row>46</xdr:row>
      <xdr:rowOff>142875</xdr:rowOff>
    </xdr:from>
    <xdr:to>
      <xdr:col>14</xdr:col>
      <xdr:colOff>266700</xdr:colOff>
      <xdr:row>46</xdr:row>
      <xdr:rowOff>142875</xdr:rowOff>
    </xdr:to>
    <xdr:cxnSp macro="">
      <xdr:nvCxnSpPr>
        <xdr:cNvPr id="33018" name="Straight Connector 41"/>
        <xdr:cNvCxnSpPr>
          <a:cxnSpLocks noChangeShapeType="1"/>
        </xdr:cNvCxnSpPr>
      </xdr:nvCxnSpPr>
      <xdr:spPr bwMode="auto">
        <a:xfrm>
          <a:off x="11696700" y="13525500"/>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247650</xdr:colOff>
      <xdr:row>36</xdr:row>
      <xdr:rowOff>152400</xdr:rowOff>
    </xdr:from>
    <xdr:to>
      <xdr:col>14</xdr:col>
      <xdr:colOff>247650</xdr:colOff>
      <xdr:row>46</xdr:row>
      <xdr:rowOff>123825</xdr:rowOff>
    </xdr:to>
    <xdr:cxnSp macro="">
      <xdr:nvCxnSpPr>
        <xdr:cNvPr id="33019" name="Straight Connector 59"/>
        <xdr:cNvCxnSpPr>
          <a:cxnSpLocks noChangeShapeType="1"/>
        </xdr:cNvCxnSpPr>
      </xdr:nvCxnSpPr>
      <xdr:spPr bwMode="auto">
        <a:xfrm rot="5400000">
          <a:off x="10453687" y="12044363"/>
          <a:ext cx="29241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editAs="oneCell">
    <xdr:from>
      <xdr:col>12</xdr:col>
      <xdr:colOff>1409700</xdr:colOff>
      <xdr:row>19</xdr:row>
      <xdr:rowOff>38100</xdr:rowOff>
    </xdr:from>
    <xdr:to>
      <xdr:col>14</xdr:col>
      <xdr:colOff>419100</xdr:colOff>
      <xdr:row>23</xdr:row>
      <xdr:rowOff>114300</xdr:rowOff>
    </xdr:to>
    <xdr:pic>
      <xdr:nvPicPr>
        <xdr:cNvPr id="33020" name="Picture 2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25200" y="5448300"/>
          <a:ext cx="962025"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114300</xdr:colOff>
      <xdr:row>23</xdr:row>
      <xdr:rowOff>180975</xdr:rowOff>
    </xdr:from>
    <xdr:to>
      <xdr:col>14</xdr:col>
      <xdr:colOff>447675</xdr:colOff>
      <xdr:row>27</xdr:row>
      <xdr:rowOff>0</xdr:rowOff>
    </xdr:to>
    <xdr:pic>
      <xdr:nvPicPr>
        <xdr:cNvPr id="33021" name="Picture 21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353800" y="6772275"/>
          <a:ext cx="762000" cy="1000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885825</xdr:colOff>
      <xdr:row>13</xdr:row>
      <xdr:rowOff>114300</xdr:rowOff>
    </xdr:from>
    <xdr:to>
      <xdr:col>14</xdr:col>
      <xdr:colOff>428625</xdr:colOff>
      <xdr:row>19</xdr:row>
      <xdr:rowOff>257175</xdr:rowOff>
    </xdr:to>
    <xdr:pic>
      <xdr:nvPicPr>
        <xdr:cNvPr id="33022" name="Picture 21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601325" y="3752850"/>
          <a:ext cx="1495425" cy="1914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28575</xdr:colOff>
      <xdr:row>41</xdr:row>
      <xdr:rowOff>142875</xdr:rowOff>
    </xdr:from>
    <xdr:to>
      <xdr:col>11</xdr:col>
      <xdr:colOff>276225</xdr:colOff>
      <xdr:row>41</xdr:row>
      <xdr:rowOff>142875</xdr:rowOff>
    </xdr:to>
    <xdr:cxnSp macro="">
      <xdr:nvCxnSpPr>
        <xdr:cNvPr id="33023" name="Straight Connector 40"/>
        <xdr:cNvCxnSpPr>
          <a:cxnSpLocks noChangeShapeType="1"/>
        </xdr:cNvCxnSpPr>
      </xdr:nvCxnSpPr>
      <xdr:spPr bwMode="auto">
        <a:xfrm>
          <a:off x="9267825" y="12049125"/>
          <a:ext cx="2476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28575</xdr:colOff>
      <xdr:row>25</xdr:row>
      <xdr:rowOff>152400</xdr:rowOff>
    </xdr:from>
    <xdr:to>
      <xdr:col>5</xdr:col>
      <xdr:colOff>466725</xdr:colOff>
      <xdr:row>27</xdr:row>
      <xdr:rowOff>152400</xdr:rowOff>
    </xdr:to>
    <xdr:grpSp>
      <xdr:nvGrpSpPr>
        <xdr:cNvPr id="34860" name="Group 1"/>
        <xdr:cNvGrpSpPr>
          <a:grpSpLocks/>
        </xdr:cNvGrpSpPr>
      </xdr:nvGrpSpPr>
      <xdr:grpSpPr bwMode="auto">
        <a:xfrm>
          <a:off x="4422775" y="7264400"/>
          <a:ext cx="438150" cy="584200"/>
          <a:chOff x="205" y="88"/>
          <a:chExt cx="48" cy="62"/>
        </a:xfrm>
      </xdr:grpSpPr>
      <xdr:cxnSp macro="">
        <xdr:nvCxnSpPr>
          <xdr:cNvPr id="34950" name="Straight Connector 44"/>
          <xdr:cNvCxnSpPr>
            <a:cxnSpLocks noChangeShapeType="1"/>
          </xdr:cNvCxnSpPr>
        </xdr:nvCxnSpPr>
        <xdr:spPr bwMode="auto">
          <a:xfrm>
            <a:off x="230" y="119"/>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51" name="Straight Connector 40"/>
          <xdr:cNvCxnSpPr>
            <a:cxnSpLocks noChangeShapeType="1"/>
          </xdr:cNvCxnSpPr>
        </xdr:nvCxnSpPr>
        <xdr:spPr bwMode="auto">
          <a:xfrm>
            <a:off x="205" y="88"/>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52" name="Straight Connector 41"/>
          <xdr:cNvCxnSpPr>
            <a:cxnSpLocks noChangeShapeType="1"/>
          </xdr:cNvCxnSpPr>
        </xdr:nvCxnSpPr>
        <xdr:spPr bwMode="auto">
          <a:xfrm>
            <a:off x="205" y="150"/>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53" name="Straight Connector 59"/>
          <xdr:cNvCxnSpPr>
            <a:cxnSpLocks noChangeShapeType="1"/>
          </xdr:cNvCxnSpPr>
        </xdr:nvCxnSpPr>
        <xdr:spPr bwMode="auto">
          <a:xfrm rot="5400000">
            <a:off x="199" y="119"/>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0</xdr:col>
      <xdr:colOff>0</xdr:colOff>
      <xdr:row>38</xdr:row>
      <xdr:rowOff>28575</xdr:rowOff>
    </xdr:from>
    <xdr:to>
      <xdr:col>18</xdr:col>
      <xdr:colOff>28575</xdr:colOff>
      <xdr:row>38</xdr:row>
      <xdr:rowOff>190500</xdr:rowOff>
    </xdr:to>
    <xdr:sp macro="" textlink="">
      <xdr:nvSpPr>
        <xdr:cNvPr id="34861" name="AutoShape 6"/>
        <xdr:cNvSpPr>
          <a:spLocks noChangeArrowheads="1"/>
        </xdr:cNvSpPr>
      </xdr:nvSpPr>
      <xdr:spPr bwMode="auto">
        <a:xfrm>
          <a:off x="0" y="11049000"/>
          <a:ext cx="14363700" cy="161925"/>
        </a:xfrm>
        <a:prstGeom prst="flowChartAlternateProcess">
          <a:avLst/>
        </a:prstGeom>
        <a:gradFill rotWithShape="1">
          <a:gsLst>
            <a:gs pos="0">
              <a:srgbClr val="333399"/>
            </a:gs>
            <a:gs pos="100000">
              <a:srgbClr val="FFFFFF"/>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18</xdr:col>
      <xdr:colOff>0</xdr:colOff>
      <xdr:row>0</xdr:row>
      <xdr:rowOff>123825</xdr:rowOff>
    </xdr:to>
    <xdr:sp macro="" textlink="">
      <xdr:nvSpPr>
        <xdr:cNvPr id="34862" name="AutoShape 7"/>
        <xdr:cNvSpPr>
          <a:spLocks noChangeArrowheads="1"/>
        </xdr:cNvSpPr>
      </xdr:nvSpPr>
      <xdr:spPr bwMode="auto">
        <a:xfrm>
          <a:off x="0" y="0"/>
          <a:ext cx="14335125" cy="123825"/>
        </a:xfrm>
        <a:prstGeom prst="flowChartAlternateProcess">
          <a:avLst/>
        </a:prstGeom>
        <a:gradFill rotWithShape="1">
          <a:gsLst>
            <a:gs pos="0">
              <a:srgbClr val="000000"/>
            </a:gs>
            <a:gs pos="100000">
              <a:srgbClr val="FFFFFF"/>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9</xdr:col>
      <xdr:colOff>1057275</xdr:colOff>
      <xdr:row>35</xdr:row>
      <xdr:rowOff>0</xdr:rowOff>
    </xdr:from>
    <xdr:to>
      <xdr:col>17</xdr:col>
      <xdr:colOff>323850</xdr:colOff>
      <xdr:row>37</xdr:row>
      <xdr:rowOff>0</xdr:rowOff>
    </xdr:to>
    <xdr:sp macro="" textlink="">
      <xdr:nvSpPr>
        <xdr:cNvPr id="34863" name="AutoShape 8"/>
        <xdr:cNvSpPr>
          <a:spLocks noChangeArrowheads="1"/>
        </xdr:cNvSpPr>
      </xdr:nvSpPr>
      <xdr:spPr bwMode="auto">
        <a:xfrm>
          <a:off x="8343900" y="10134600"/>
          <a:ext cx="5981700" cy="590550"/>
        </a:xfrm>
        <a:prstGeom prst="flowChartAlternateProcess">
          <a:avLst/>
        </a:prstGeom>
        <a:noFill/>
        <a:ln w="25400">
          <a:solidFill>
            <a:srgbClr val="666699"/>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676275</xdr:colOff>
      <xdr:row>2</xdr:row>
      <xdr:rowOff>76200</xdr:rowOff>
    </xdr:from>
    <xdr:to>
      <xdr:col>17</xdr:col>
      <xdr:colOff>314325</xdr:colOff>
      <xdr:row>3</xdr:row>
      <xdr:rowOff>257175</xdr:rowOff>
    </xdr:to>
    <xdr:sp macro="" textlink="">
      <xdr:nvSpPr>
        <xdr:cNvPr id="34864" name="AutoShape 9"/>
        <xdr:cNvSpPr>
          <a:spLocks noChangeArrowheads="1"/>
        </xdr:cNvSpPr>
      </xdr:nvSpPr>
      <xdr:spPr bwMode="auto">
        <a:xfrm>
          <a:off x="7962900" y="428625"/>
          <a:ext cx="6353175" cy="514350"/>
        </a:xfrm>
        <a:prstGeom prst="flowChartAlternateProcess">
          <a:avLst/>
        </a:prstGeom>
        <a:noFill/>
        <a:ln w="25400">
          <a:solidFill>
            <a:srgbClr val="80808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xdr:col>
      <xdr:colOff>19050</xdr:colOff>
      <xdr:row>3</xdr:row>
      <xdr:rowOff>152400</xdr:rowOff>
    </xdr:from>
    <xdr:to>
      <xdr:col>3</xdr:col>
      <xdr:colOff>0</xdr:colOff>
      <xdr:row>5</xdr:row>
      <xdr:rowOff>152400</xdr:rowOff>
    </xdr:to>
    <xdr:grpSp>
      <xdr:nvGrpSpPr>
        <xdr:cNvPr id="34865" name="Group 10"/>
        <xdr:cNvGrpSpPr>
          <a:grpSpLocks/>
        </xdr:cNvGrpSpPr>
      </xdr:nvGrpSpPr>
      <xdr:grpSpPr bwMode="auto">
        <a:xfrm>
          <a:off x="1974850" y="838200"/>
          <a:ext cx="463550" cy="584200"/>
          <a:chOff x="205" y="88"/>
          <a:chExt cx="48" cy="62"/>
        </a:xfrm>
      </xdr:grpSpPr>
      <xdr:cxnSp macro="">
        <xdr:nvCxnSpPr>
          <xdr:cNvPr id="34946"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47"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48"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49"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7</xdr:row>
      <xdr:rowOff>152400</xdr:rowOff>
    </xdr:from>
    <xdr:to>
      <xdr:col>3</xdr:col>
      <xdr:colOff>0</xdr:colOff>
      <xdr:row>9</xdr:row>
      <xdr:rowOff>152400</xdr:rowOff>
    </xdr:to>
    <xdr:grpSp>
      <xdr:nvGrpSpPr>
        <xdr:cNvPr id="34866" name="Group 15"/>
        <xdr:cNvGrpSpPr>
          <a:grpSpLocks/>
        </xdr:cNvGrpSpPr>
      </xdr:nvGrpSpPr>
      <xdr:grpSpPr bwMode="auto">
        <a:xfrm>
          <a:off x="1974850" y="2006600"/>
          <a:ext cx="463550" cy="584200"/>
          <a:chOff x="205" y="88"/>
          <a:chExt cx="48" cy="62"/>
        </a:xfrm>
      </xdr:grpSpPr>
      <xdr:cxnSp macro="">
        <xdr:nvCxnSpPr>
          <xdr:cNvPr id="34942"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43"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44"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45"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11</xdr:row>
      <xdr:rowOff>161925</xdr:rowOff>
    </xdr:from>
    <xdr:to>
      <xdr:col>3</xdr:col>
      <xdr:colOff>0</xdr:colOff>
      <xdr:row>13</xdr:row>
      <xdr:rowOff>161925</xdr:rowOff>
    </xdr:to>
    <xdr:grpSp>
      <xdr:nvGrpSpPr>
        <xdr:cNvPr id="34867" name="Group 20"/>
        <xdr:cNvGrpSpPr>
          <a:grpSpLocks/>
        </xdr:cNvGrpSpPr>
      </xdr:nvGrpSpPr>
      <xdr:grpSpPr bwMode="auto">
        <a:xfrm>
          <a:off x="1974850" y="3184525"/>
          <a:ext cx="463550" cy="584200"/>
          <a:chOff x="205" y="88"/>
          <a:chExt cx="48" cy="62"/>
        </a:xfrm>
      </xdr:grpSpPr>
      <xdr:cxnSp macro="">
        <xdr:nvCxnSpPr>
          <xdr:cNvPr id="34938"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39"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40"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41"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15</xdr:row>
      <xdr:rowOff>152400</xdr:rowOff>
    </xdr:from>
    <xdr:to>
      <xdr:col>3</xdr:col>
      <xdr:colOff>0</xdr:colOff>
      <xdr:row>17</xdr:row>
      <xdr:rowOff>152400</xdr:rowOff>
    </xdr:to>
    <xdr:grpSp>
      <xdr:nvGrpSpPr>
        <xdr:cNvPr id="34868" name="Group 25"/>
        <xdr:cNvGrpSpPr>
          <a:grpSpLocks/>
        </xdr:cNvGrpSpPr>
      </xdr:nvGrpSpPr>
      <xdr:grpSpPr bwMode="auto">
        <a:xfrm>
          <a:off x="1974850" y="4343400"/>
          <a:ext cx="463550" cy="584200"/>
          <a:chOff x="205" y="88"/>
          <a:chExt cx="48" cy="62"/>
        </a:xfrm>
      </xdr:grpSpPr>
      <xdr:cxnSp macro="">
        <xdr:nvCxnSpPr>
          <xdr:cNvPr id="34934"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35"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36"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37"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28575</xdr:colOff>
      <xdr:row>21</xdr:row>
      <xdr:rowOff>123825</xdr:rowOff>
    </xdr:from>
    <xdr:to>
      <xdr:col>8</xdr:col>
      <xdr:colOff>247650</xdr:colOff>
      <xdr:row>21</xdr:row>
      <xdr:rowOff>123825</xdr:rowOff>
    </xdr:to>
    <xdr:cxnSp macro="">
      <xdr:nvCxnSpPr>
        <xdr:cNvPr id="34869" name="Straight Connector 44"/>
        <xdr:cNvCxnSpPr>
          <a:cxnSpLocks noChangeShapeType="1"/>
        </xdr:cNvCxnSpPr>
      </xdr:nvCxnSpPr>
      <xdr:spPr bwMode="auto">
        <a:xfrm>
          <a:off x="6838950" y="6124575"/>
          <a:ext cx="2190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19050</xdr:colOff>
      <xdr:row>19</xdr:row>
      <xdr:rowOff>142875</xdr:rowOff>
    </xdr:from>
    <xdr:to>
      <xdr:col>2</xdr:col>
      <xdr:colOff>266700</xdr:colOff>
      <xdr:row>19</xdr:row>
      <xdr:rowOff>142875</xdr:rowOff>
    </xdr:to>
    <xdr:cxnSp macro="">
      <xdr:nvCxnSpPr>
        <xdr:cNvPr id="34870" name="Straight Connector 40"/>
        <xdr:cNvCxnSpPr>
          <a:cxnSpLocks noChangeShapeType="1"/>
        </xdr:cNvCxnSpPr>
      </xdr:nvCxnSpPr>
      <xdr:spPr bwMode="auto">
        <a:xfrm>
          <a:off x="1971675" y="5553075"/>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19050</xdr:colOff>
      <xdr:row>21</xdr:row>
      <xdr:rowOff>142875</xdr:rowOff>
    </xdr:from>
    <xdr:to>
      <xdr:col>2</xdr:col>
      <xdr:colOff>257175</xdr:colOff>
      <xdr:row>21</xdr:row>
      <xdr:rowOff>142875</xdr:rowOff>
    </xdr:to>
    <xdr:cxnSp macro="">
      <xdr:nvCxnSpPr>
        <xdr:cNvPr id="34871" name="Straight Connector 41"/>
        <xdr:cNvCxnSpPr>
          <a:cxnSpLocks noChangeShapeType="1"/>
        </xdr:cNvCxnSpPr>
      </xdr:nvCxnSpPr>
      <xdr:spPr bwMode="auto">
        <a:xfrm>
          <a:off x="1971675" y="6143625"/>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257175</xdr:colOff>
      <xdr:row>19</xdr:row>
      <xdr:rowOff>142875</xdr:rowOff>
    </xdr:from>
    <xdr:to>
      <xdr:col>2</xdr:col>
      <xdr:colOff>257175</xdr:colOff>
      <xdr:row>21</xdr:row>
      <xdr:rowOff>142875</xdr:rowOff>
    </xdr:to>
    <xdr:cxnSp macro="">
      <xdr:nvCxnSpPr>
        <xdr:cNvPr id="34872" name="Straight Connector 59"/>
        <xdr:cNvCxnSpPr>
          <a:cxnSpLocks noChangeShapeType="1"/>
        </xdr:cNvCxnSpPr>
      </xdr:nvCxnSpPr>
      <xdr:spPr bwMode="auto">
        <a:xfrm rot="5400000">
          <a:off x="1914525" y="5848350"/>
          <a:ext cx="5905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28575</xdr:colOff>
      <xdr:row>6</xdr:row>
      <xdr:rowOff>152400</xdr:rowOff>
    </xdr:from>
    <xdr:to>
      <xdr:col>11</xdr:col>
      <xdr:colOff>247650</xdr:colOff>
      <xdr:row>6</xdr:row>
      <xdr:rowOff>152400</xdr:rowOff>
    </xdr:to>
    <xdr:cxnSp macro="">
      <xdr:nvCxnSpPr>
        <xdr:cNvPr id="34873" name="Straight Connector 44"/>
        <xdr:cNvCxnSpPr>
          <a:cxnSpLocks noChangeShapeType="1"/>
        </xdr:cNvCxnSpPr>
      </xdr:nvCxnSpPr>
      <xdr:spPr bwMode="auto">
        <a:xfrm>
          <a:off x="9267825" y="1724025"/>
          <a:ext cx="2190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4</xdr:row>
      <xdr:rowOff>161925</xdr:rowOff>
    </xdr:from>
    <xdr:to>
      <xdr:col>5</xdr:col>
      <xdr:colOff>266700</xdr:colOff>
      <xdr:row>4</xdr:row>
      <xdr:rowOff>161925</xdr:rowOff>
    </xdr:to>
    <xdr:cxnSp macro="">
      <xdr:nvCxnSpPr>
        <xdr:cNvPr id="34874" name="Straight Connector 40"/>
        <xdr:cNvCxnSpPr>
          <a:cxnSpLocks noChangeShapeType="1"/>
        </xdr:cNvCxnSpPr>
      </xdr:nvCxnSpPr>
      <xdr:spPr bwMode="auto">
        <a:xfrm>
          <a:off x="4400550" y="1143000"/>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8</xdr:row>
      <xdr:rowOff>161925</xdr:rowOff>
    </xdr:from>
    <xdr:to>
      <xdr:col>5</xdr:col>
      <xdr:colOff>257175</xdr:colOff>
      <xdr:row>8</xdr:row>
      <xdr:rowOff>161925</xdr:rowOff>
    </xdr:to>
    <xdr:cxnSp macro="">
      <xdr:nvCxnSpPr>
        <xdr:cNvPr id="34875" name="Straight Connector 41"/>
        <xdr:cNvCxnSpPr>
          <a:cxnSpLocks noChangeShapeType="1"/>
        </xdr:cNvCxnSpPr>
      </xdr:nvCxnSpPr>
      <xdr:spPr bwMode="auto">
        <a:xfrm>
          <a:off x="4400550" y="23241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4</xdr:row>
      <xdr:rowOff>161925</xdr:rowOff>
    </xdr:from>
    <xdr:to>
      <xdr:col>5</xdr:col>
      <xdr:colOff>257175</xdr:colOff>
      <xdr:row>8</xdr:row>
      <xdr:rowOff>161925</xdr:rowOff>
    </xdr:to>
    <xdr:cxnSp macro="">
      <xdr:nvCxnSpPr>
        <xdr:cNvPr id="34876" name="Straight Connector 59"/>
        <xdr:cNvCxnSpPr>
          <a:cxnSpLocks noChangeShapeType="1"/>
        </xdr:cNvCxnSpPr>
      </xdr:nvCxnSpPr>
      <xdr:spPr bwMode="auto">
        <a:xfrm rot="5400000">
          <a:off x="4048125" y="1733550"/>
          <a:ext cx="11811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12</xdr:row>
      <xdr:rowOff>161925</xdr:rowOff>
    </xdr:from>
    <xdr:to>
      <xdr:col>6</xdr:col>
      <xdr:colOff>0</xdr:colOff>
      <xdr:row>16</xdr:row>
      <xdr:rowOff>161925</xdr:rowOff>
    </xdr:to>
    <xdr:grpSp>
      <xdr:nvGrpSpPr>
        <xdr:cNvPr id="34877" name="Group 38"/>
        <xdr:cNvGrpSpPr>
          <a:grpSpLocks/>
        </xdr:cNvGrpSpPr>
      </xdr:nvGrpSpPr>
      <xdr:grpSpPr bwMode="auto">
        <a:xfrm>
          <a:off x="4413250" y="3476625"/>
          <a:ext cx="463550" cy="1168400"/>
          <a:chOff x="205" y="88"/>
          <a:chExt cx="48" cy="62"/>
        </a:xfrm>
      </xdr:grpSpPr>
      <xdr:cxnSp macro="">
        <xdr:nvCxnSpPr>
          <xdr:cNvPr id="34930"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31"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32"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34933"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295275</xdr:colOff>
      <xdr:row>20</xdr:row>
      <xdr:rowOff>161925</xdr:rowOff>
    </xdr:from>
    <xdr:to>
      <xdr:col>2</xdr:col>
      <xdr:colOff>447675</xdr:colOff>
      <xdr:row>20</xdr:row>
      <xdr:rowOff>161925</xdr:rowOff>
    </xdr:to>
    <xdr:cxnSp macro="">
      <xdr:nvCxnSpPr>
        <xdr:cNvPr id="34878" name="Straight Connector 44"/>
        <xdr:cNvCxnSpPr>
          <a:cxnSpLocks noChangeShapeType="1"/>
        </xdr:cNvCxnSpPr>
      </xdr:nvCxnSpPr>
      <xdr:spPr bwMode="auto">
        <a:xfrm>
          <a:off x="2247900" y="5867400"/>
          <a:ext cx="1524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285750</xdr:colOff>
      <xdr:row>6</xdr:row>
      <xdr:rowOff>161925</xdr:rowOff>
    </xdr:from>
    <xdr:to>
      <xdr:col>9</xdr:col>
      <xdr:colOff>19050</xdr:colOff>
      <xdr:row>6</xdr:row>
      <xdr:rowOff>161925</xdr:rowOff>
    </xdr:to>
    <xdr:cxnSp macro="">
      <xdr:nvCxnSpPr>
        <xdr:cNvPr id="34879" name="Straight Connector 40"/>
        <xdr:cNvCxnSpPr>
          <a:cxnSpLocks noChangeShapeType="1"/>
        </xdr:cNvCxnSpPr>
      </xdr:nvCxnSpPr>
      <xdr:spPr bwMode="auto">
        <a:xfrm>
          <a:off x="4667250" y="1733550"/>
          <a:ext cx="26384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14</xdr:row>
      <xdr:rowOff>171450</xdr:rowOff>
    </xdr:from>
    <xdr:to>
      <xdr:col>8</xdr:col>
      <xdr:colOff>257175</xdr:colOff>
      <xdr:row>14</xdr:row>
      <xdr:rowOff>171450</xdr:rowOff>
    </xdr:to>
    <xdr:cxnSp macro="">
      <xdr:nvCxnSpPr>
        <xdr:cNvPr id="34880" name="Straight Connector 41"/>
        <xdr:cNvCxnSpPr>
          <a:cxnSpLocks noChangeShapeType="1"/>
        </xdr:cNvCxnSpPr>
      </xdr:nvCxnSpPr>
      <xdr:spPr bwMode="auto">
        <a:xfrm>
          <a:off x="6829425" y="4105275"/>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266700</xdr:colOff>
      <xdr:row>14</xdr:row>
      <xdr:rowOff>180975</xdr:rowOff>
    </xdr:from>
    <xdr:to>
      <xdr:col>8</xdr:col>
      <xdr:colOff>266700</xdr:colOff>
      <xdr:row>21</xdr:row>
      <xdr:rowOff>142875</xdr:rowOff>
    </xdr:to>
    <xdr:cxnSp macro="">
      <xdr:nvCxnSpPr>
        <xdr:cNvPr id="34881" name="Straight Connector 59"/>
        <xdr:cNvCxnSpPr>
          <a:cxnSpLocks noChangeShapeType="1"/>
        </xdr:cNvCxnSpPr>
      </xdr:nvCxnSpPr>
      <xdr:spPr bwMode="auto">
        <a:xfrm rot="5400000">
          <a:off x="6062662" y="5129213"/>
          <a:ext cx="20288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28575</xdr:colOff>
      <xdr:row>17</xdr:row>
      <xdr:rowOff>152400</xdr:rowOff>
    </xdr:from>
    <xdr:to>
      <xdr:col>11</xdr:col>
      <xdr:colOff>266700</xdr:colOff>
      <xdr:row>17</xdr:row>
      <xdr:rowOff>152400</xdr:rowOff>
    </xdr:to>
    <xdr:cxnSp macro="">
      <xdr:nvCxnSpPr>
        <xdr:cNvPr id="34882" name="Straight Connector 41"/>
        <xdr:cNvCxnSpPr>
          <a:cxnSpLocks noChangeShapeType="1"/>
        </xdr:cNvCxnSpPr>
      </xdr:nvCxnSpPr>
      <xdr:spPr bwMode="auto">
        <a:xfrm>
          <a:off x="9267825" y="497205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257175</xdr:colOff>
      <xdr:row>6</xdr:row>
      <xdr:rowOff>123825</xdr:rowOff>
    </xdr:from>
    <xdr:to>
      <xdr:col>11</xdr:col>
      <xdr:colOff>257175</xdr:colOff>
      <xdr:row>21</xdr:row>
      <xdr:rowOff>114300</xdr:rowOff>
    </xdr:to>
    <xdr:cxnSp macro="">
      <xdr:nvCxnSpPr>
        <xdr:cNvPr id="34883" name="Straight Connector 59"/>
        <xdr:cNvCxnSpPr>
          <a:cxnSpLocks noChangeShapeType="1"/>
        </xdr:cNvCxnSpPr>
      </xdr:nvCxnSpPr>
      <xdr:spPr bwMode="auto">
        <a:xfrm rot="5400000">
          <a:off x="7286625" y="3905250"/>
          <a:ext cx="44196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238125</xdr:colOff>
      <xdr:row>21</xdr:row>
      <xdr:rowOff>123825</xdr:rowOff>
    </xdr:from>
    <xdr:to>
      <xdr:col>14</xdr:col>
      <xdr:colOff>428625</xdr:colOff>
      <xdr:row>21</xdr:row>
      <xdr:rowOff>123825</xdr:rowOff>
    </xdr:to>
    <xdr:cxnSp macro="">
      <xdr:nvCxnSpPr>
        <xdr:cNvPr id="34884" name="Straight Connector 44"/>
        <xdr:cNvCxnSpPr>
          <a:cxnSpLocks noChangeShapeType="1"/>
        </xdr:cNvCxnSpPr>
      </xdr:nvCxnSpPr>
      <xdr:spPr bwMode="auto">
        <a:xfrm>
          <a:off x="9477375" y="6124575"/>
          <a:ext cx="26193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238125</xdr:colOff>
      <xdr:row>17</xdr:row>
      <xdr:rowOff>152400</xdr:rowOff>
    </xdr:from>
    <xdr:to>
      <xdr:col>8</xdr:col>
      <xdr:colOff>457200</xdr:colOff>
      <xdr:row>17</xdr:row>
      <xdr:rowOff>152400</xdr:rowOff>
    </xdr:to>
    <xdr:cxnSp macro="">
      <xdr:nvCxnSpPr>
        <xdr:cNvPr id="34885" name="Straight Connector 41"/>
        <xdr:cNvCxnSpPr>
          <a:cxnSpLocks noChangeShapeType="1"/>
        </xdr:cNvCxnSpPr>
      </xdr:nvCxnSpPr>
      <xdr:spPr bwMode="auto">
        <a:xfrm>
          <a:off x="7048500" y="4972050"/>
          <a:ext cx="2190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28575</xdr:colOff>
      <xdr:row>26</xdr:row>
      <xdr:rowOff>142875</xdr:rowOff>
    </xdr:from>
    <xdr:to>
      <xdr:col>2</xdr:col>
      <xdr:colOff>466725</xdr:colOff>
      <xdr:row>28</xdr:row>
      <xdr:rowOff>142875</xdr:rowOff>
    </xdr:to>
    <xdr:grpSp>
      <xdr:nvGrpSpPr>
        <xdr:cNvPr id="34886" name="Group 52"/>
        <xdr:cNvGrpSpPr>
          <a:grpSpLocks/>
        </xdr:cNvGrpSpPr>
      </xdr:nvGrpSpPr>
      <xdr:grpSpPr bwMode="auto">
        <a:xfrm>
          <a:off x="1984375" y="7546975"/>
          <a:ext cx="438150" cy="584200"/>
          <a:chOff x="205" y="88"/>
          <a:chExt cx="48" cy="62"/>
        </a:xfrm>
      </xdr:grpSpPr>
      <xdr:cxnSp macro="">
        <xdr:nvCxnSpPr>
          <xdr:cNvPr id="34926" name="Straight Connector 44"/>
          <xdr:cNvCxnSpPr>
            <a:cxnSpLocks noChangeShapeType="1"/>
          </xdr:cNvCxnSpPr>
        </xdr:nvCxnSpPr>
        <xdr:spPr bwMode="auto">
          <a:xfrm>
            <a:off x="230" y="119"/>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27" name="Straight Connector 40"/>
          <xdr:cNvCxnSpPr>
            <a:cxnSpLocks noChangeShapeType="1"/>
          </xdr:cNvCxnSpPr>
        </xdr:nvCxnSpPr>
        <xdr:spPr bwMode="auto">
          <a:xfrm>
            <a:off x="205" y="88"/>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28" name="Straight Connector 41"/>
          <xdr:cNvCxnSpPr>
            <a:cxnSpLocks noChangeShapeType="1"/>
          </xdr:cNvCxnSpPr>
        </xdr:nvCxnSpPr>
        <xdr:spPr bwMode="auto">
          <a:xfrm>
            <a:off x="205" y="150"/>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29" name="Straight Connector 59"/>
          <xdr:cNvCxnSpPr>
            <a:cxnSpLocks noChangeShapeType="1"/>
          </xdr:cNvCxnSpPr>
        </xdr:nvCxnSpPr>
        <xdr:spPr bwMode="auto">
          <a:xfrm rot="5400000">
            <a:off x="199" y="119"/>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editAs="oneCell">
    <xdr:from>
      <xdr:col>12</xdr:col>
      <xdr:colOff>1028700</xdr:colOff>
      <xdr:row>13</xdr:row>
      <xdr:rowOff>85725</xdr:rowOff>
    </xdr:from>
    <xdr:to>
      <xdr:col>13</xdr:col>
      <xdr:colOff>333375</xdr:colOff>
      <xdr:row>16</xdr:row>
      <xdr:rowOff>276225</xdr:rowOff>
    </xdr:to>
    <xdr:pic>
      <xdr:nvPicPr>
        <xdr:cNvPr id="34887"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44200" y="3724275"/>
          <a:ext cx="828675" cy="1076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1219200</xdr:colOff>
      <xdr:row>16</xdr:row>
      <xdr:rowOff>142875</xdr:rowOff>
    </xdr:from>
    <xdr:to>
      <xdr:col>13</xdr:col>
      <xdr:colOff>333375</xdr:colOff>
      <xdr:row>19</xdr:row>
      <xdr:rowOff>85725</xdr:rowOff>
    </xdr:to>
    <xdr:pic>
      <xdr:nvPicPr>
        <xdr:cNvPr id="34888" name="Picture 6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934700" y="4667250"/>
          <a:ext cx="63817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714375</xdr:colOff>
      <xdr:row>9</xdr:row>
      <xdr:rowOff>9525</xdr:rowOff>
    </xdr:from>
    <xdr:to>
      <xdr:col>13</xdr:col>
      <xdr:colOff>333375</xdr:colOff>
      <xdr:row>14</xdr:row>
      <xdr:rowOff>9525</xdr:rowOff>
    </xdr:to>
    <xdr:pic>
      <xdr:nvPicPr>
        <xdr:cNvPr id="34889" name="Picture 6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429875" y="2466975"/>
          <a:ext cx="1143000" cy="1476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28575</xdr:colOff>
      <xdr:row>35</xdr:row>
      <xdr:rowOff>142875</xdr:rowOff>
    </xdr:from>
    <xdr:to>
      <xdr:col>2</xdr:col>
      <xdr:colOff>457200</xdr:colOff>
      <xdr:row>35</xdr:row>
      <xdr:rowOff>142875</xdr:rowOff>
    </xdr:to>
    <xdr:cxnSp macro="">
      <xdr:nvCxnSpPr>
        <xdr:cNvPr id="34890" name="Straight Connector 40"/>
        <xdr:cNvCxnSpPr>
          <a:cxnSpLocks noChangeShapeType="1"/>
        </xdr:cNvCxnSpPr>
      </xdr:nvCxnSpPr>
      <xdr:spPr bwMode="auto">
        <a:xfrm>
          <a:off x="1981200" y="10277475"/>
          <a:ext cx="4286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27</xdr:row>
      <xdr:rowOff>152400</xdr:rowOff>
    </xdr:from>
    <xdr:to>
      <xdr:col>11</xdr:col>
      <xdr:colOff>447675</xdr:colOff>
      <xdr:row>27</xdr:row>
      <xdr:rowOff>152400</xdr:rowOff>
    </xdr:to>
    <xdr:cxnSp macro="">
      <xdr:nvCxnSpPr>
        <xdr:cNvPr id="34891" name="Straight Connector 44"/>
        <xdr:cNvCxnSpPr>
          <a:cxnSpLocks noChangeShapeType="1"/>
        </xdr:cNvCxnSpPr>
      </xdr:nvCxnSpPr>
      <xdr:spPr bwMode="auto">
        <a:xfrm>
          <a:off x="7067550" y="7924800"/>
          <a:ext cx="26193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26</xdr:row>
      <xdr:rowOff>152400</xdr:rowOff>
    </xdr:from>
    <xdr:to>
      <xdr:col>8</xdr:col>
      <xdr:colOff>266700</xdr:colOff>
      <xdr:row>26</xdr:row>
      <xdr:rowOff>152400</xdr:rowOff>
    </xdr:to>
    <xdr:cxnSp macro="">
      <xdr:nvCxnSpPr>
        <xdr:cNvPr id="34892" name="Straight Connector 40"/>
        <xdr:cNvCxnSpPr>
          <a:cxnSpLocks noChangeShapeType="1"/>
        </xdr:cNvCxnSpPr>
      </xdr:nvCxnSpPr>
      <xdr:spPr bwMode="auto">
        <a:xfrm>
          <a:off x="6838950" y="762952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28</xdr:row>
      <xdr:rowOff>152400</xdr:rowOff>
    </xdr:from>
    <xdr:to>
      <xdr:col>8</xdr:col>
      <xdr:colOff>257175</xdr:colOff>
      <xdr:row>28</xdr:row>
      <xdr:rowOff>152400</xdr:rowOff>
    </xdr:to>
    <xdr:cxnSp macro="">
      <xdr:nvCxnSpPr>
        <xdr:cNvPr id="34893" name="Straight Connector 41"/>
        <xdr:cNvCxnSpPr>
          <a:cxnSpLocks noChangeShapeType="1"/>
        </xdr:cNvCxnSpPr>
      </xdr:nvCxnSpPr>
      <xdr:spPr bwMode="auto">
        <a:xfrm>
          <a:off x="6838950" y="822007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26</xdr:row>
      <xdr:rowOff>152400</xdr:rowOff>
    </xdr:from>
    <xdr:to>
      <xdr:col>8</xdr:col>
      <xdr:colOff>257175</xdr:colOff>
      <xdr:row>28</xdr:row>
      <xdr:rowOff>152400</xdr:rowOff>
    </xdr:to>
    <xdr:cxnSp macro="">
      <xdr:nvCxnSpPr>
        <xdr:cNvPr id="34894" name="Straight Connector 59"/>
        <xdr:cNvCxnSpPr>
          <a:cxnSpLocks noChangeShapeType="1"/>
        </xdr:cNvCxnSpPr>
      </xdr:nvCxnSpPr>
      <xdr:spPr bwMode="auto">
        <a:xfrm rot="5400000">
          <a:off x="6772275" y="7924800"/>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47625</xdr:colOff>
      <xdr:row>31</xdr:row>
      <xdr:rowOff>152400</xdr:rowOff>
    </xdr:from>
    <xdr:to>
      <xdr:col>14</xdr:col>
      <xdr:colOff>276225</xdr:colOff>
      <xdr:row>31</xdr:row>
      <xdr:rowOff>152400</xdr:rowOff>
    </xdr:to>
    <xdr:cxnSp macro="">
      <xdr:nvCxnSpPr>
        <xdr:cNvPr id="34895" name="Straight Connector 41"/>
        <xdr:cNvCxnSpPr>
          <a:cxnSpLocks noChangeShapeType="1"/>
        </xdr:cNvCxnSpPr>
      </xdr:nvCxnSpPr>
      <xdr:spPr bwMode="auto">
        <a:xfrm>
          <a:off x="11715750" y="9105900"/>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285750</xdr:colOff>
      <xdr:row>25</xdr:row>
      <xdr:rowOff>161925</xdr:rowOff>
    </xdr:from>
    <xdr:to>
      <xdr:col>14</xdr:col>
      <xdr:colOff>438150</xdr:colOff>
      <xdr:row>25</xdr:row>
      <xdr:rowOff>161925</xdr:rowOff>
    </xdr:to>
    <xdr:cxnSp macro="">
      <xdr:nvCxnSpPr>
        <xdr:cNvPr id="34896" name="Straight Connector 40"/>
        <xdr:cNvCxnSpPr>
          <a:cxnSpLocks noChangeShapeType="1"/>
        </xdr:cNvCxnSpPr>
      </xdr:nvCxnSpPr>
      <xdr:spPr bwMode="auto">
        <a:xfrm>
          <a:off x="11953875" y="7343775"/>
          <a:ext cx="1524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266700</xdr:colOff>
      <xdr:row>25</xdr:row>
      <xdr:rowOff>142875</xdr:rowOff>
    </xdr:from>
    <xdr:to>
      <xdr:col>14</xdr:col>
      <xdr:colOff>266700</xdr:colOff>
      <xdr:row>31</xdr:row>
      <xdr:rowOff>161925</xdr:rowOff>
    </xdr:to>
    <xdr:cxnSp macro="">
      <xdr:nvCxnSpPr>
        <xdr:cNvPr id="34897" name="Straight Connector 59"/>
        <xdr:cNvCxnSpPr>
          <a:cxnSpLocks noChangeShapeType="1"/>
        </xdr:cNvCxnSpPr>
      </xdr:nvCxnSpPr>
      <xdr:spPr bwMode="auto">
        <a:xfrm rot="5400000">
          <a:off x="11039475" y="8220075"/>
          <a:ext cx="17907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47625</xdr:colOff>
      <xdr:row>27</xdr:row>
      <xdr:rowOff>142875</xdr:rowOff>
    </xdr:from>
    <xdr:to>
      <xdr:col>14</xdr:col>
      <xdr:colOff>276225</xdr:colOff>
      <xdr:row>27</xdr:row>
      <xdr:rowOff>142875</xdr:rowOff>
    </xdr:to>
    <xdr:cxnSp macro="">
      <xdr:nvCxnSpPr>
        <xdr:cNvPr id="34898" name="Straight Connector 41"/>
        <xdr:cNvCxnSpPr>
          <a:cxnSpLocks noChangeShapeType="1"/>
        </xdr:cNvCxnSpPr>
      </xdr:nvCxnSpPr>
      <xdr:spPr bwMode="auto">
        <a:xfrm>
          <a:off x="11715750" y="791527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21</xdr:row>
      <xdr:rowOff>180975</xdr:rowOff>
    </xdr:from>
    <xdr:to>
      <xdr:col>6</xdr:col>
      <xdr:colOff>0</xdr:colOff>
      <xdr:row>21</xdr:row>
      <xdr:rowOff>180975</xdr:rowOff>
    </xdr:to>
    <xdr:cxnSp macro="">
      <xdr:nvCxnSpPr>
        <xdr:cNvPr id="34899" name="Straight Connector 44"/>
        <xdr:cNvCxnSpPr>
          <a:cxnSpLocks noChangeShapeType="1"/>
        </xdr:cNvCxnSpPr>
      </xdr:nvCxnSpPr>
      <xdr:spPr bwMode="auto">
        <a:xfrm>
          <a:off x="4638675" y="6181725"/>
          <a:ext cx="2190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20</xdr:row>
      <xdr:rowOff>161925</xdr:rowOff>
    </xdr:from>
    <xdr:to>
      <xdr:col>5</xdr:col>
      <xdr:colOff>266700</xdr:colOff>
      <xdr:row>20</xdr:row>
      <xdr:rowOff>161925</xdr:rowOff>
    </xdr:to>
    <xdr:cxnSp macro="">
      <xdr:nvCxnSpPr>
        <xdr:cNvPr id="34900" name="Straight Connector 40"/>
        <xdr:cNvCxnSpPr>
          <a:cxnSpLocks noChangeShapeType="1"/>
        </xdr:cNvCxnSpPr>
      </xdr:nvCxnSpPr>
      <xdr:spPr bwMode="auto">
        <a:xfrm>
          <a:off x="4400550" y="5867400"/>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23</xdr:row>
      <xdr:rowOff>152400</xdr:rowOff>
    </xdr:from>
    <xdr:to>
      <xdr:col>5</xdr:col>
      <xdr:colOff>257175</xdr:colOff>
      <xdr:row>23</xdr:row>
      <xdr:rowOff>152400</xdr:rowOff>
    </xdr:to>
    <xdr:cxnSp macro="">
      <xdr:nvCxnSpPr>
        <xdr:cNvPr id="34901" name="Straight Connector 41"/>
        <xdr:cNvCxnSpPr>
          <a:cxnSpLocks noChangeShapeType="1"/>
        </xdr:cNvCxnSpPr>
      </xdr:nvCxnSpPr>
      <xdr:spPr bwMode="auto">
        <a:xfrm>
          <a:off x="4400550" y="67437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20</xdr:row>
      <xdr:rowOff>161925</xdr:rowOff>
    </xdr:from>
    <xdr:to>
      <xdr:col>5</xdr:col>
      <xdr:colOff>257175</xdr:colOff>
      <xdr:row>23</xdr:row>
      <xdr:rowOff>152400</xdr:rowOff>
    </xdr:to>
    <xdr:cxnSp macro="">
      <xdr:nvCxnSpPr>
        <xdr:cNvPr id="34902" name="Straight Connector 59"/>
        <xdr:cNvCxnSpPr>
          <a:cxnSpLocks noChangeShapeType="1"/>
        </xdr:cNvCxnSpPr>
      </xdr:nvCxnSpPr>
      <xdr:spPr bwMode="auto">
        <a:xfrm rot="5400000">
          <a:off x="4200525" y="6305550"/>
          <a:ext cx="8763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28</xdr:row>
      <xdr:rowOff>152400</xdr:rowOff>
    </xdr:from>
    <xdr:to>
      <xdr:col>5</xdr:col>
      <xdr:colOff>466725</xdr:colOff>
      <xdr:row>28</xdr:row>
      <xdr:rowOff>152400</xdr:rowOff>
    </xdr:to>
    <xdr:cxnSp macro="">
      <xdr:nvCxnSpPr>
        <xdr:cNvPr id="34903" name="Straight Connector 44"/>
        <xdr:cNvCxnSpPr>
          <a:cxnSpLocks noChangeShapeType="1"/>
        </xdr:cNvCxnSpPr>
      </xdr:nvCxnSpPr>
      <xdr:spPr bwMode="auto">
        <a:xfrm>
          <a:off x="4638675" y="8220075"/>
          <a:ext cx="209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28575</xdr:colOff>
      <xdr:row>29</xdr:row>
      <xdr:rowOff>152400</xdr:rowOff>
    </xdr:from>
    <xdr:to>
      <xdr:col>5</xdr:col>
      <xdr:colOff>266700</xdr:colOff>
      <xdr:row>29</xdr:row>
      <xdr:rowOff>152400</xdr:rowOff>
    </xdr:to>
    <xdr:cxnSp macro="">
      <xdr:nvCxnSpPr>
        <xdr:cNvPr id="34904" name="Straight Connector 40"/>
        <xdr:cNvCxnSpPr>
          <a:cxnSpLocks noChangeShapeType="1"/>
        </xdr:cNvCxnSpPr>
      </xdr:nvCxnSpPr>
      <xdr:spPr bwMode="auto">
        <a:xfrm>
          <a:off x="4410075" y="8515350"/>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28575</xdr:colOff>
      <xdr:row>31</xdr:row>
      <xdr:rowOff>152400</xdr:rowOff>
    </xdr:from>
    <xdr:to>
      <xdr:col>5</xdr:col>
      <xdr:colOff>257175</xdr:colOff>
      <xdr:row>31</xdr:row>
      <xdr:rowOff>152400</xdr:rowOff>
    </xdr:to>
    <xdr:cxnSp macro="">
      <xdr:nvCxnSpPr>
        <xdr:cNvPr id="34905" name="Straight Connector 41"/>
        <xdr:cNvCxnSpPr>
          <a:cxnSpLocks noChangeShapeType="1"/>
        </xdr:cNvCxnSpPr>
      </xdr:nvCxnSpPr>
      <xdr:spPr bwMode="auto">
        <a:xfrm>
          <a:off x="4410075" y="9105900"/>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28</xdr:row>
      <xdr:rowOff>142875</xdr:rowOff>
    </xdr:from>
    <xdr:to>
      <xdr:col>5</xdr:col>
      <xdr:colOff>257175</xdr:colOff>
      <xdr:row>31</xdr:row>
      <xdr:rowOff>152400</xdr:rowOff>
    </xdr:to>
    <xdr:cxnSp macro="">
      <xdr:nvCxnSpPr>
        <xdr:cNvPr id="34906" name="Straight Connector 59"/>
        <xdr:cNvCxnSpPr>
          <a:cxnSpLocks noChangeShapeType="1"/>
        </xdr:cNvCxnSpPr>
      </xdr:nvCxnSpPr>
      <xdr:spPr bwMode="auto">
        <a:xfrm rot="5400000">
          <a:off x="4191000" y="8658225"/>
          <a:ext cx="8953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28575</xdr:colOff>
      <xdr:row>23</xdr:row>
      <xdr:rowOff>152400</xdr:rowOff>
    </xdr:from>
    <xdr:to>
      <xdr:col>2</xdr:col>
      <xdr:colOff>457200</xdr:colOff>
      <xdr:row>23</xdr:row>
      <xdr:rowOff>152400</xdr:rowOff>
    </xdr:to>
    <xdr:cxnSp macro="">
      <xdr:nvCxnSpPr>
        <xdr:cNvPr id="34907" name="Straight Connector 40"/>
        <xdr:cNvCxnSpPr>
          <a:cxnSpLocks noChangeShapeType="1"/>
        </xdr:cNvCxnSpPr>
      </xdr:nvCxnSpPr>
      <xdr:spPr bwMode="auto">
        <a:xfrm>
          <a:off x="1981200" y="6743700"/>
          <a:ext cx="4286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28575</xdr:colOff>
      <xdr:row>30</xdr:row>
      <xdr:rowOff>142875</xdr:rowOff>
    </xdr:from>
    <xdr:to>
      <xdr:col>2</xdr:col>
      <xdr:colOff>466725</xdr:colOff>
      <xdr:row>32</xdr:row>
      <xdr:rowOff>142875</xdr:rowOff>
    </xdr:to>
    <xdr:grpSp>
      <xdr:nvGrpSpPr>
        <xdr:cNvPr id="34908" name="Group 98"/>
        <xdr:cNvGrpSpPr>
          <a:grpSpLocks/>
        </xdr:cNvGrpSpPr>
      </xdr:nvGrpSpPr>
      <xdr:grpSpPr bwMode="auto">
        <a:xfrm>
          <a:off x="1984375" y="8715375"/>
          <a:ext cx="438150" cy="584200"/>
          <a:chOff x="205" y="88"/>
          <a:chExt cx="48" cy="62"/>
        </a:xfrm>
      </xdr:grpSpPr>
      <xdr:cxnSp macro="">
        <xdr:nvCxnSpPr>
          <xdr:cNvPr id="34922" name="Straight Connector 44"/>
          <xdr:cNvCxnSpPr>
            <a:cxnSpLocks noChangeShapeType="1"/>
          </xdr:cNvCxnSpPr>
        </xdr:nvCxnSpPr>
        <xdr:spPr bwMode="auto">
          <a:xfrm>
            <a:off x="230" y="119"/>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23" name="Straight Connector 40"/>
          <xdr:cNvCxnSpPr>
            <a:cxnSpLocks noChangeShapeType="1"/>
          </xdr:cNvCxnSpPr>
        </xdr:nvCxnSpPr>
        <xdr:spPr bwMode="auto">
          <a:xfrm>
            <a:off x="205" y="88"/>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24" name="Straight Connector 41"/>
          <xdr:cNvCxnSpPr>
            <a:cxnSpLocks noChangeShapeType="1"/>
          </xdr:cNvCxnSpPr>
        </xdr:nvCxnSpPr>
        <xdr:spPr bwMode="auto">
          <a:xfrm>
            <a:off x="205" y="150"/>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25" name="Straight Connector 59"/>
          <xdr:cNvCxnSpPr>
            <a:cxnSpLocks noChangeShapeType="1"/>
          </xdr:cNvCxnSpPr>
        </xdr:nvCxnSpPr>
        <xdr:spPr bwMode="auto">
          <a:xfrm rot="5400000">
            <a:off x="199" y="119"/>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5</xdr:col>
      <xdr:colOff>28575</xdr:colOff>
      <xdr:row>33</xdr:row>
      <xdr:rowOff>152400</xdr:rowOff>
    </xdr:from>
    <xdr:to>
      <xdr:col>5</xdr:col>
      <xdr:colOff>466725</xdr:colOff>
      <xdr:row>35</xdr:row>
      <xdr:rowOff>152400</xdr:rowOff>
    </xdr:to>
    <xdr:grpSp>
      <xdr:nvGrpSpPr>
        <xdr:cNvPr id="34909" name="Group 103"/>
        <xdr:cNvGrpSpPr>
          <a:grpSpLocks/>
        </xdr:cNvGrpSpPr>
      </xdr:nvGrpSpPr>
      <xdr:grpSpPr bwMode="auto">
        <a:xfrm>
          <a:off x="4422775" y="9601200"/>
          <a:ext cx="438150" cy="584200"/>
          <a:chOff x="205" y="88"/>
          <a:chExt cx="48" cy="62"/>
        </a:xfrm>
      </xdr:grpSpPr>
      <xdr:cxnSp macro="">
        <xdr:nvCxnSpPr>
          <xdr:cNvPr id="34918" name="Straight Connector 44"/>
          <xdr:cNvCxnSpPr>
            <a:cxnSpLocks noChangeShapeType="1"/>
          </xdr:cNvCxnSpPr>
        </xdr:nvCxnSpPr>
        <xdr:spPr bwMode="auto">
          <a:xfrm>
            <a:off x="230" y="119"/>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19" name="Straight Connector 40"/>
          <xdr:cNvCxnSpPr>
            <a:cxnSpLocks noChangeShapeType="1"/>
          </xdr:cNvCxnSpPr>
        </xdr:nvCxnSpPr>
        <xdr:spPr bwMode="auto">
          <a:xfrm>
            <a:off x="205" y="88"/>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20" name="Straight Connector 41"/>
          <xdr:cNvCxnSpPr>
            <a:cxnSpLocks noChangeShapeType="1"/>
          </xdr:cNvCxnSpPr>
        </xdr:nvCxnSpPr>
        <xdr:spPr bwMode="auto">
          <a:xfrm>
            <a:off x="205" y="150"/>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21" name="Straight Connector 59"/>
          <xdr:cNvCxnSpPr>
            <a:cxnSpLocks noChangeShapeType="1"/>
          </xdr:cNvCxnSpPr>
        </xdr:nvCxnSpPr>
        <xdr:spPr bwMode="auto">
          <a:xfrm rot="5400000">
            <a:off x="199" y="119"/>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11</xdr:col>
      <xdr:colOff>28575</xdr:colOff>
      <xdr:row>30</xdr:row>
      <xdr:rowOff>161925</xdr:rowOff>
    </xdr:from>
    <xdr:to>
      <xdr:col>11</xdr:col>
      <xdr:colOff>466725</xdr:colOff>
      <xdr:row>32</xdr:row>
      <xdr:rowOff>161925</xdr:rowOff>
    </xdr:to>
    <xdr:grpSp>
      <xdr:nvGrpSpPr>
        <xdr:cNvPr id="34910" name="Group 108"/>
        <xdr:cNvGrpSpPr>
          <a:grpSpLocks/>
        </xdr:cNvGrpSpPr>
      </xdr:nvGrpSpPr>
      <xdr:grpSpPr bwMode="auto">
        <a:xfrm>
          <a:off x="9299575" y="8734425"/>
          <a:ext cx="438150" cy="584200"/>
          <a:chOff x="205" y="88"/>
          <a:chExt cx="48" cy="62"/>
        </a:xfrm>
      </xdr:grpSpPr>
      <xdr:cxnSp macro="">
        <xdr:nvCxnSpPr>
          <xdr:cNvPr id="34914" name="Straight Connector 44"/>
          <xdr:cNvCxnSpPr>
            <a:cxnSpLocks noChangeShapeType="1"/>
          </xdr:cNvCxnSpPr>
        </xdr:nvCxnSpPr>
        <xdr:spPr bwMode="auto">
          <a:xfrm>
            <a:off x="230" y="119"/>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15" name="Straight Connector 40"/>
          <xdr:cNvCxnSpPr>
            <a:cxnSpLocks noChangeShapeType="1"/>
          </xdr:cNvCxnSpPr>
        </xdr:nvCxnSpPr>
        <xdr:spPr bwMode="auto">
          <a:xfrm>
            <a:off x="205" y="88"/>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16" name="Straight Connector 41"/>
          <xdr:cNvCxnSpPr>
            <a:cxnSpLocks noChangeShapeType="1"/>
          </xdr:cNvCxnSpPr>
        </xdr:nvCxnSpPr>
        <xdr:spPr bwMode="auto">
          <a:xfrm>
            <a:off x="205" y="150"/>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34917" name="Straight Connector 59"/>
          <xdr:cNvCxnSpPr>
            <a:cxnSpLocks noChangeShapeType="1"/>
          </xdr:cNvCxnSpPr>
        </xdr:nvCxnSpPr>
        <xdr:spPr bwMode="auto">
          <a:xfrm rot="5400000">
            <a:off x="199" y="119"/>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28575</xdr:colOff>
      <xdr:row>32</xdr:row>
      <xdr:rowOff>161925</xdr:rowOff>
    </xdr:from>
    <xdr:to>
      <xdr:col>8</xdr:col>
      <xdr:colOff>457200</xdr:colOff>
      <xdr:row>32</xdr:row>
      <xdr:rowOff>161925</xdr:rowOff>
    </xdr:to>
    <xdr:cxnSp macro="">
      <xdr:nvCxnSpPr>
        <xdr:cNvPr id="34911" name="Straight Connector 44"/>
        <xdr:cNvCxnSpPr>
          <a:cxnSpLocks noChangeShapeType="1"/>
        </xdr:cNvCxnSpPr>
      </xdr:nvCxnSpPr>
      <xdr:spPr bwMode="auto">
        <a:xfrm>
          <a:off x="6838950" y="9410700"/>
          <a:ext cx="4286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34</xdr:row>
      <xdr:rowOff>161925</xdr:rowOff>
    </xdr:from>
    <xdr:to>
      <xdr:col>8</xdr:col>
      <xdr:colOff>257175</xdr:colOff>
      <xdr:row>34</xdr:row>
      <xdr:rowOff>161925</xdr:rowOff>
    </xdr:to>
    <xdr:cxnSp macro="">
      <xdr:nvCxnSpPr>
        <xdr:cNvPr id="34912" name="Straight Connector 41"/>
        <xdr:cNvCxnSpPr>
          <a:cxnSpLocks noChangeShapeType="1"/>
        </xdr:cNvCxnSpPr>
      </xdr:nvCxnSpPr>
      <xdr:spPr bwMode="auto">
        <a:xfrm>
          <a:off x="6829425" y="10001250"/>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32</xdr:row>
      <xdr:rowOff>152400</xdr:rowOff>
    </xdr:from>
    <xdr:to>
      <xdr:col>8</xdr:col>
      <xdr:colOff>257175</xdr:colOff>
      <xdr:row>34</xdr:row>
      <xdr:rowOff>161925</xdr:rowOff>
    </xdr:to>
    <xdr:cxnSp macro="">
      <xdr:nvCxnSpPr>
        <xdr:cNvPr id="34913" name="Straight Connector 59"/>
        <xdr:cNvCxnSpPr>
          <a:cxnSpLocks noChangeShapeType="1"/>
        </xdr:cNvCxnSpPr>
      </xdr:nvCxnSpPr>
      <xdr:spPr bwMode="auto">
        <a:xfrm rot="5400000">
          <a:off x="6767512" y="9701213"/>
          <a:ext cx="60007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28575</xdr:colOff>
      <xdr:row>22</xdr:row>
      <xdr:rowOff>152400</xdr:rowOff>
    </xdr:from>
    <xdr:to>
      <xdr:col>5</xdr:col>
      <xdr:colOff>466725</xdr:colOff>
      <xdr:row>24</xdr:row>
      <xdr:rowOff>152400</xdr:rowOff>
    </xdr:to>
    <xdr:grpSp>
      <xdr:nvGrpSpPr>
        <xdr:cNvPr id="23390" name="Group 1"/>
        <xdr:cNvGrpSpPr>
          <a:grpSpLocks/>
        </xdr:cNvGrpSpPr>
      </xdr:nvGrpSpPr>
      <xdr:grpSpPr bwMode="auto">
        <a:xfrm>
          <a:off x="4422775" y="6388100"/>
          <a:ext cx="438150" cy="584200"/>
          <a:chOff x="205" y="88"/>
          <a:chExt cx="48" cy="62"/>
        </a:xfrm>
      </xdr:grpSpPr>
      <xdr:cxnSp macro="">
        <xdr:nvCxnSpPr>
          <xdr:cNvPr id="23470" name="Straight Connector 44"/>
          <xdr:cNvCxnSpPr>
            <a:cxnSpLocks noChangeShapeType="1"/>
          </xdr:cNvCxnSpPr>
        </xdr:nvCxnSpPr>
        <xdr:spPr bwMode="auto">
          <a:xfrm>
            <a:off x="230" y="119"/>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3471" name="Straight Connector 40"/>
          <xdr:cNvCxnSpPr>
            <a:cxnSpLocks noChangeShapeType="1"/>
          </xdr:cNvCxnSpPr>
        </xdr:nvCxnSpPr>
        <xdr:spPr bwMode="auto">
          <a:xfrm>
            <a:off x="205" y="88"/>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3472" name="Straight Connector 41"/>
          <xdr:cNvCxnSpPr>
            <a:cxnSpLocks noChangeShapeType="1"/>
          </xdr:cNvCxnSpPr>
        </xdr:nvCxnSpPr>
        <xdr:spPr bwMode="auto">
          <a:xfrm>
            <a:off x="205" y="150"/>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3473" name="Straight Connector 59"/>
          <xdr:cNvCxnSpPr>
            <a:cxnSpLocks noChangeShapeType="1"/>
          </xdr:cNvCxnSpPr>
        </xdr:nvCxnSpPr>
        <xdr:spPr bwMode="auto">
          <a:xfrm rot="5400000">
            <a:off x="199" y="119"/>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0</xdr:col>
      <xdr:colOff>0</xdr:colOff>
      <xdr:row>34</xdr:row>
      <xdr:rowOff>28575</xdr:rowOff>
    </xdr:from>
    <xdr:to>
      <xdr:col>18</xdr:col>
      <xdr:colOff>28575</xdr:colOff>
      <xdr:row>34</xdr:row>
      <xdr:rowOff>190500</xdr:rowOff>
    </xdr:to>
    <xdr:sp macro="" textlink="">
      <xdr:nvSpPr>
        <xdr:cNvPr id="23391" name="AutoShape 6"/>
        <xdr:cNvSpPr>
          <a:spLocks noChangeArrowheads="1"/>
        </xdr:cNvSpPr>
      </xdr:nvSpPr>
      <xdr:spPr bwMode="auto">
        <a:xfrm>
          <a:off x="0" y="9867900"/>
          <a:ext cx="14363700" cy="161925"/>
        </a:xfrm>
        <a:prstGeom prst="flowChartAlternateProcess">
          <a:avLst/>
        </a:prstGeom>
        <a:gradFill rotWithShape="1">
          <a:gsLst>
            <a:gs pos="0">
              <a:srgbClr val="333399"/>
            </a:gs>
            <a:gs pos="100000">
              <a:srgbClr val="FFFFFF"/>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18</xdr:col>
      <xdr:colOff>0</xdr:colOff>
      <xdr:row>0</xdr:row>
      <xdr:rowOff>123825</xdr:rowOff>
    </xdr:to>
    <xdr:sp macro="" textlink="">
      <xdr:nvSpPr>
        <xdr:cNvPr id="23392" name="AutoShape 7"/>
        <xdr:cNvSpPr>
          <a:spLocks noChangeArrowheads="1"/>
        </xdr:cNvSpPr>
      </xdr:nvSpPr>
      <xdr:spPr bwMode="auto">
        <a:xfrm>
          <a:off x="0" y="0"/>
          <a:ext cx="14335125" cy="123825"/>
        </a:xfrm>
        <a:prstGeom prst="flowChartAlternateProcess">
          <a:avLst/>
        </a:prstGeom>
        <a:gradFill rotWithShape="1">
          <a:gsLst>
            <a:gs pos="0">
              <a:srgbClr val="000000"/>
            </a:gs>
            <a:gs pos="100000">
              <a:srgbClr val="FFFFFF"/>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9</xdr:col>
      <xdr:colOff>1057275</xdr:colOff>
      <xdr:row>31</xdr:row>
      <xdr:rowOff>0</xdr:rowOff>
    </xdr:from>
    <xdr:to>
      <xdr:col>17</xdr:col>
      <xdr:colOff>323850</xdr:colOff>
      <xdr:row>33</xdr:row>
      <xdr:rowOff>0</xdr:rowOff>
    </xdr:to>
    <xdr:sp macro="" textlink="">
      <xdr:nvSpPr>
        <xdr:cNvPr id="23393" name="AutoShape 11"/>
        <xdr:cNvSpPr>
          <a:spLocks noChangeArrowheads="1"/>
        </xdr:cNvSpPr>
      </xdr:nvSpPr>
      <xdr:spPr bwMode="auto">
        <a:xfrm>
          <a:off x="8343900" y="8953500"/>
          <a:ext cx="5981700" cy="590550"/>
        </a:xfrm>
        <a:prstGeom prst="flowChartAlternateProcess">
          <a:avLst/>
        </a:prstGeom>
        <a:noFill/>
        <a:ln w="25400">
          <a:solidFill>
            <a:srgbClr val="666699"/>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676275</xdr:colOff>
      <xdr:row>2</xdr:row>
      <xdr:rowOff>76200</xdr:rowOff>
    </xdr:from>
    <xdr:to>
      <xdr:col>17</xdr:col>
      <xdr:colOff>314325</xdr:colOff>
      <xdr:row>3</xdr:row>
      <xdr:rowOff>257175</xdr:rowOff>
    </xdr:to>
    <xdr:sp macro="" textlink="">
      <xdr:nvSpPr>
        <xdr:cNvPr id="23394" name="AutoShape 12"/>
        <xdr:cNvSpPr>
          <a:spLocks noChangeArrowheads="1"/>
        </xdr:cNvSpPr>
      </xdr:nvSpPr>
      <xdr:spPr bwMode="auto">
        <a:xfrm>
          <a:off x="7962900" y="428625"/>
          <a:ext cx="6353175" cy="514350"/>
        </a:xfrm>
        <a:prstGeom prst="flowChartAlternateProcess">
          <a:avLst/>
        </a:prstGeom>
        <a:noFill/>
        <a:ln w="25400">
          <a:solidFill>
            <a:srgbClr val="80808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xdr:col>
      <xdr:colOff>19050</xdr:colOff>
      <xdr:row>3</xdr:row>
      <xdr:rowOff>152400</xdr:rowOff>
    </xdr:from>
    <xdr:to>
      <xdr:col>3</xdr:col>
      <xdr:colOff>0</xdr:colOff>
      <xdr:row>5</xdr:row>
      <xdr:rowOff>152400</xdr:rowOff>
    </xdr:to>
    <xdr:grpSp>
      <xdr:nvGrpSpPr>
        <xdr:cNvPr id="23395" name="Group 13"/>
        <xdr:cNvGrpSpPr>
          <a:grpSpLocks/>
        </xdr:cNvGrpSpPr>
      </xdr:nvGrpSpPr>
      <xdr:grpSpPr bwMode="auto">
        <a:xfrm>
          <a:off x="1974850" y="838200"/>
          <a:ext cx="463550" cy="584200"/>
          <a:chOff x="205" y="88"/>
          <a:chExt cx="48" cy="62"/>
        </a:xfrm>
      </xdr:grpSpPr>
      <xdr:cxnSp macro="">
        <xdr:nvCxnSpPr>
          <xdr:cNvPr id="23466"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67"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68"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69"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7</xdr:row>
      <xdr:rowOff>152400</xdr:rowOff>
    </xdr:from>
    <xdr:to>
      <xdr:col>3</xdr:col>
      <xdr:colOff>0</xdr:colOff>
      <xdr:row>9</xdr:row>
      <xdr:rowOff>152400</xdr:rowOff>
    </xdr:to>
    <xdr:grpSp>
      <xdr:nvGrpSpPr>
        <xdr:cNvPr id="23396" name="Group 18"/>
        <xdr:cNvGrpSpPr>
          <a:grpSpLocks/>
        </xdr:cNvGrpSpPr>
      </xdr:nvGrpSpPr>
      <xdr:grpSpPr bwMode="auto">
        <a:xfrm>
          <a:off x="1974850" y="2006600"/>
          <a:ext cx="463550" cy="584200"/>
          <a:chOff x="205" y="88"/>
          <a:chExt cx="48" cy="62"/>
        </a:xfrm>
      </xdr:grpSpPr>
      <xdr:cxnSp macro="">
        <xdr:nvCxnSpPr>
          <xdr:cNvPr id="23462"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63"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64"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65"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11</xdr:row>
      <xdr:rowOff>161925</xdr:rowOff>
    </xdr:from>
    <xdr:to>
      <xdr:col>3</xdr:col>
      <xdr:colOff>0</xdr:colOff>
      <xdr:row>13</xdr:row>
      <xdr:rowOff>161925</xdr:rowOff>
    </xdr:to>
    <xdr:grpSp>
      <xdr:nvGrpSpPr>
        <xdr:cNvPr id="23397" name="Group 23"/>
        <xdr:cNvGrpSpPr>
          <a:grpSpLocks/>
        </xdr:cNvGrpSpPr>
      </xdr:nvGrpSpPr>
      <xdr:grpSpPr bwMode="auto">
        <a:xfrm>
          <a:off x="1974850" y="3184525"/>
          <a:ext cx="463550" cy="584200"/>
          <a:chOff x="205" y="88"/>
          <a:chExt cx="48" cy="62"/>
        </a:xfrm>
      </xdr:grpSpPr>
      <xdr:cxnSp macro="">
        <xdr:nvCxnSpPr>
          <xdr:cNvPr id="23458"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59"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60"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61"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19050</xdr:colOff>
      <xdr:row>15</xdr:row>
      <xdr:rowOff>152400</xdr:rowOff>
    </xdr:from>
    <xdr:to>
      <xdr:col>3</xdr:col>
      <xdr:colOff>0</xdr:colOff>
      <xdr:row>17</xdr:row>
      <xdr:rowOff>152400</xdr:rowOff>
    </xdr:to>
    <xdr:grpSp>
      <xdr:nvGrpSpPr>
        <xdr:cNvPr id="23398" name="Group 28"/>
        <xdr:cNvGrpSpPr>
          <a:grpSpLocks/>
        </xdr:cNvGrpSpPr>
      </xdr:nvGrpSpPr>
      <xdr:grpSpPr bwMode="auto">
        <a:xfrm>
          <a:off x="1974850" y="4343400"/>
          <a:ext cx="463550" cy="584200"/>
          <a:chOff x="205" y="88"/>
          <a:chExt cx="48" cy="62"/>
        </a:xfrm>
      </xdr:grpSpPr>
      <xdr:cxnSp macro="">
        <xdr:nvCxnSpPr>
          <xdr:cNvPr id="23454"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55"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56"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57"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8</xdr:col>
      <xdr:colOff>28575</xdr:colOff>
      <xdr:row>20</xdr:row>
      <xdr:rowOff>152400</xdr:rowOff>
    </xdr:from>
    <xdr:to>
      <xdr:col>8</xdr:col>
      <xdr:colOff>247650</xdr:colOff>
      <xdr:row>20</xdr:row>
      <xdr:rowOff>152400</xdr:rowOff>
    </xdr:to>
    <xdr:cxnSp macro="">
      <xdr:nvCxnSpPr>
        <xdr:cNvPr id="23399" name="Straight Connector 44"/>
        <xdr:cNvCxnSpPr>
          <a:cxnSpLocks noChangeShapeType="1"/>
        </xdr:cNvCxnSpPr>
      </xdr:nvCxnSpPr>
      <xdr:spPr bwMode="auto">
        <a:xfrm>
          <a:off x="6838950" y="5857875"/>
          <a:ext cx="2190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19050</xdr:colOff>
      <xdr:row>19</xdr:row>
      <xdr:rowOff>142875</xdr:rowOff>
    </xdr:from>
    <xdr:to>
      <xdr:col>2</xdr:col>
      <xdr:colOff>266700</xdr:colOff>
      <xdr:row>19</xdr:row>
      <xdr:rowOff>142875</xdr:rowOff>
    </xdr:to>
    <xdr:cxnSp macro="">
      <xdr:nvCxnSpPr>
        <xdr:cNvPr id="23400" name="Straight Connector 40"/>
        <xdr:cNvCxnSpPr>
          <a:cxnSpLocks noChangeShapeType="1"/>
        </xdr:cNvCxnSpPr>
      </xdr:nvCxnSpPr>
      <xdr:spPr bwMode="auto">
        <a:xfrm>
          <a:off x="1971675" y="5553075"/>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19050</xdr:colOff>
      <xdr:row>21</xdr:row>
      <xdr:rowOff>142875</xdr:rowOff>
    </xdr:from>
    <xdr:to>
      <xdr:col>2</xdr:col>
      <xdr:colOff>257175</xdr:colOff>
      <xdr:row>21</xdr:row>
      <xdr:rowOff>142875</xdr:rowOff>
    </xdr:to>
    <xdr:cxnSp macro="">
      <xdr:nvCxnSpPr>
        <xdr:cNvPr id="23401" name="Straight Connector 41"/>
        <xdr:cNvCxnSpPr>
          <a:cxnSpLocks noChangeShapeType="1"/>
        </xdr:cNvCxnSpPr>
      </xdr:nvCxnSpPr>
      <xdr:spPr bwMode="auto">
        <a:xfrm>
          <a:off x="1971675" y="6143625"/>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257175</xdr:colOff>
      <xdr:row>19</xdr:row>
      <xdr:rowOff>142875</xdr:rowOff>
    </xdr:from>
    <xdr:to>
      <xdr:col>2</xdr:col>
      <xdr:colOff>257175</xdr:colOff>
      <xdr:row>21</xdr:row>
      <xdr:rowOff>142875</xdr:rowOff>
    </xdr:to>
    <xdr:cxnSp macro="">
      <xdr:nvCxnSpPr>
        <xdr:cNvPr id="23402" name="Straight Connector 59"/>
        <xdr:cNvCxnSpPr>
          <a:cxnSpLocks noChangeShapeType="1"/>
        </xdr:cNvCxnSpPr>
      </xdr:nvCxnSpPr>
      <xdr:spPr bwMode="auto">
        <a:xfrm rot="5400000">
          <a:off x="1914525" y="5848350"/>
          <a:ext cx="5905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28575</xdr:colOff>
      <xdr:row>6</xdr:row>
      <xdr:rowOff>152400</xdr:rowOff>
    </xdr:from>
    <xdr:to>
      <xdr:col>11</xdr:col>
      <xdr:colOff>247650</xdr:colOff>
      <xdr:row>6</xdr:row>
      <xdr:rowOff>152400</xdr:rowOff>
    </xdr:to>
    <xdr:cxnSp macro="">
      <xdr:nvCxnSpPr>
        <xdr:cNvPr id="23403" name="Straight Connector 44"/>
        <xdr:cNvCxnSpPr>
          <a:cxnSpLocks noChangeShapeType="1"/>
        </xdr:cNvCxnSpPr>
      </xdr:nvCxnSpPr>
      <xdr:spPr bwMode="auto">
        <a:xfrm>
          <a:off x="9267825" y="1724025"/>
          <a:ext cx="2190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4</xdr:row>
      <xdr:rowOff>161925</xdr:rowOff>
    </xdr:from>
    <xdr:to>
      <xdr:col>5</xdr:col>
      <xdr:colOff>266700</xdr:colOff>
      <xdr:row>4</xdr:row>
      <xdr:rowOff>161925</xdr:rowOff>
    </xdr:to>
    <xdr:cxnSp macro="">
      <xdr:nvCxnSpPr>
        <xdr:cNvPr id="23404" name="Straight Connector 40"/>
        <xdr:cNvCxnSpPr>
          <a:cxnSpLocks noChangeShapeType="1"/>
        </xdr:cNvCxnSpPr>
      </xdr:nvCxnSpPr>
      <xdr:spPr bwMode="auto">
        <a:xfrm>
          <a:off x="4400550" y="1143000"/>
          <a:ext cx="24765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8</xdr:row>
      <xdr:rowOff>161925</xdr:rowOff>
    </xdr:from>
    <xdr:to>
      <xdr:col>5</xdr:col>
      <xdr:colOff>257175</xdr:colOff>
      <xdr:row>8</xdr:row>
      <xdr:rowOff>161925</xdr:rowOff>
    </xdr:to>
    <xdr:cxnSp macro="">
      <xdr:nvCxnSpPr>
        <xdr:cNvPr id="23405" name="Straight Connector 41"/>
        <xdr:cNvCxnSpPr>
          <a:cxnSpLocks noChangeShapeType="1"/>
        </xdr:cNvCxnSpPr>
      </xdr:nvCxnSpPr>
      <xdr:spPr bwMode="auto">
        <a:xfrm>
          <a:off x="4400550" y="232410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257175</xdr:colOff>
      <xdr:row>4</xdr:row>
      <xdr:rowOff>161925</xdr:rowOff>
    </xdr:from>
    <xdr:to>
      <xdr:col>5</xdr:col>
      <xdr:colOff>257175</xdr:colOff>
      <xdr:row>8</xdr:row>
      <xdr:rowOff>161925</xdr:rowOff>
    </xdr:to>
    <xdr:cxnSp macro="">
      <xdr:nvCxnSpPr>
        <xdr:cNvPr id="23406" name="Straight Connector 59"/>
        <xdr:cNvCxnSpPr>
          <a:cxnSpLocks noChangeShapeType="1"/>
        </xdr:cNvCxnSpPr>
      </xdr:nvCxnSpPr>
      <xdr:spPr bwMode="auto">
        <a:xfrm rot="5400000">
          <a:off x="4048125" y="1733550"/>
          <a:ext cx="11811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19050</xdr:colOff>
      <xdr:row>12</xdr:row>
      <xdr:rowOff>161925</xdr:rowOff>
    </xdr:from>
    <xdr:to>
      <xdr:col>6</xdr:col>
      <xdr:colOff>0</xdr:colOff>
      <xdr:row>16</xdr:row>
      <xdr:rowOff>161925</xdr:rowOff>
    </xdr:to>
    <xdr:grpSp>
      <xdr:nvGrpSpPr>
        <xdr:cNvPr id="23407" name="Group 43"/>
        <xdr:cNvGrpSpPr>
          <a:grpSpLocks/>
        </xdr:cNvGrpSpPr>
      </xdr:nvGrpSpPr>
      <xdr:grpSpPr bwMode="auto">
        <a:xfrm>
          <a:off x="4413250" y="3476625"/>
          <a:ext cx="463550" cy="1168400"/>
          <a:chOff x="205" y="88"/>
          <a:chExt cx="48" cy="62"/>
        </a:xfrm>
      </xdr:grpSpPr>
      <xdr:cxnSp macro="">
        <xdr:nvCxnSpPr>
          <xdr:cNvPr id="23450" name="Straight Connector 44"/>
          <xdr:cNvCxnSpPr>
            <a:cxnSpLocks noChangeShapeType="1"/>
          </xdr:cNvCxnSpPr>
        </xdr:nvCxnSpPr>
        <xdr:spPr bwMode="auto">
          <a:xfrm>
            <a:off x="230" y="119"/>
            <a:ext cx="23"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51" name="Straight Connector 40"/>
          <xdr:cNvCxnSpPr>
            <a:cxnSpLocks noChangeShapeType="1"/>
          </xdr:cNvCxnSpPr>
        </xdr:nvCxnSpPr>
        <xdr:spPr bwMode="auto">
          <a:xfrm>
            <a:off x="205" y="88"/>
            <a:ext cx="26"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52" name="Straight Connector 41"/>
          <xdr:cNvCxnSpPr>
            <a:cxnSpLocks noChangeShapeType="1"/>
          </xdr:cNvCxnSpPr>
        </xdr:nvCxnSpPr>
        <xdr:spPr bwMode="auto">
          <a:xfrm>
            <a:off x="205" y="150"/>
            <a:ext cx="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xnSp macro="">
        <xdr:nvCxnSpPr>
          <xdr:cNvPr id="23453" name="Straight Connector 59"/>
          <xdr:cNvCxnSpPr>
            <a:cxnSpLocks noChangeShapeType="1"/>
          </xdr:cNvCxnSpPr>
        </xdr:nvCxnSpPr>
        <xdr:spPr bwMode="auto">
          <a:xfrm rot="5400000">
            <a:off x="199" y="119"/>
            <a:ext cx="62"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295275</xdr:colOff>
      <xdr:row>20</xdr:row>
      <xdr:rowOff>161925</xdr:rowOff>
    </xdr:from>
    <xdr:to>
      <xdr:col>6</xdr:col>
      <xdr:colOff>9525</xdr:colOff>
      <xdr:row>20</xdr:row>
      <xdr:rowOff>161925</xdr:rowOff>
    </xdr:to>
    <xdr:cxnSp macro="">
      <xdr:nvCxnSpPr>
        <xdr:cNvPr id="23408" name="Straight Connector 44"/>
        <xdr:cNvCxnSpPr>
          <a:cxnSpLocks noChangeShapeType="1"/>
        </xdr:cNvCxnSpPr>
      </xdr:nvCxnSpPr>
      <xdr:spPr bwMode="auto">
        <a:xfrm>
          <a:off x="2247900" y="5867400"/>
          <a:ext cx="26193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285750</xdr:colOff>
      <xdr:row>6</xdr:row>
      <xdr:rowOff>161925</xdr:rowOff>
    </xdr:from>
    <xdr:to>
      <xdr:col>9</xdr:col>
      <xdr:colOff>19050</xdr:colOff>
      <xdr:row>6</xdr:row>
      <xdr:rowOff>161925</xdr:rowOff>
    </xdr:to>
    <xdr:cxnSp macro="">
      <xdr:nvCxnSpPr>
        <xdr:cNvPr id="23409" name="Straight Connector 40"/>
        <xdr:cNvCxnSpPr>
          <a:cxnSpLocks noChangeShapeType="1"/>
        </xdr:cNvCxnSpPr>
      </xdr:nvCxnSpPr>
      <xdr:spPr bwMode="auto">
        <a:xfrm>
          <a:off x="4667250" y="1733550"/>
          <a:ext cx="26384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19050</xdr:colOff>
      <xdr:row>14</xdr:row>
      <xdr:rowOff>171450</xdr:rowOff>
    </xdr:from>
    <xdr:to>
      <xdr:col>8</xdr:col>
      <xdr:colOff>257175</xdr:colOff>
      <xdr:row>14</xdr:row>
      <xdr:rowOff>171450</xdr:rowOff>
    </xdr:to>
    <xdr:cxnSp macro="">
      <xdr:nvCxnSpPr>
        <xdr:cNvPr id="23410" name="Straight Connector 41"/>
        <xdr:cNvCxnSpPr>
          <a:cxnSpLocks noChangeShapeType="1"/>
        </xdr:cNvCxnSpPr>
      </xdr:nvCxnSpPr>
      <xdr:spPr bwMode="auto">
        <a:xfrm>
          <a:off x="6829425" y="4105275"/>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266700</xdr:colOff>
      <xdr:row>14</xdr:row>
      <xdr:rowOff>180975</xdr:rowOff>
    </xdr:from>
    <xdr:to>
      <xdr:col>8</xdr:col>
      <xdr:colOff>266700</xdr:colOff>
      <xdr:row>20</xdr:row>
      <xdr:rowOff>161925</xdr:rowOff>
    </xdr:to>
    <xdr:cxnSp macro="">
      <xdr:nvCxnSpPr>
        <xdr:cNvPr id="23411" name="Straight Connector 59"/>
        <xdr:cNvCxnSpPr>
          <a:cxnSpLocks noChangeShapeType="1"/>
        </xdr:cNvCxnSpPr>
      </xdr:nvCxnSpPr>
      <xdr:spPr bwMode="auto">
        <a:xfrm rot="5400000">
          <a:off x="6200775" y="4991100"/>
          <a:ext cx="17526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31</xdr:row>
      <xdr:rowOff>142875</xdr:rowOff>
    </xdr:from>
    <xdr:to>
      <xdr:col>5</xdr:col>
      <xdr:colOff>276225</xdr:colOff>
      <xdr:row>31</xdr:row>
      <xdr:rowOff>142875</xdr:rowOff>
    </xdr:to>
    <xdr:cxnSp macro="">
      <xdr:nvCxnSpPr>
        <xdr:cNvPr id="23412" name="Straight Connector 41"/>
        <xdr:cNvCxnSpPr>
          <a:cxnSpLocks noChangeShapeType="1"/>
        </xdr:cNvCxnSpPr>
      </xdr:nvCxnSpPr>
      <xdr:spPr bwMode="auto">
        <a:xfrm>
          <a:off x="4429125" y="909637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28575</xdr:colOff>
      <xdr:row>17</xdr:row>
      <xdr:rowOff>152400</xdr:rowOff>
    </xdr:from>
    <xdr:to>
      <xdr:col>11</xdr:col>
      <xdr:colOff>266700</xdr:colOff>
      <xdr:row>17</xdr:row>
      <xdr:rowOff>152400</xdr:rowOff>
    </xdr:to>
    <xdr:cxnSp macro="">
      <xdr:nvCxnSpPr>
        <xdr:cNvPr id="23413" name="Straight Connector 41"/>
        <xdr:cNvCxnSpPr>
          <a:cxnSpLocks noChangeShapeType="1"/>
        </xdr:cNvCxnSpPr>
      </xdr:nvCxnSpPr>
      <xdr:spPr bwMode="auto">
        <a:xfrm>
          <a:off x="9267825" y="4972050"/>
          <a:ext cx="23812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257175</xdr:colOff>
      <xdr:row>6</xdr:row>
      <xdr:rowOff>123825</xdr:rowOff>
    </xdr:from>
    <xdr:to>
      <xdr:col>11</xdr:col>
      <xdr:colOff>257175</xdr:colOff>
      <xdr:row>21</xdr:row>
      <xdr:rowOff>114300</xdr:rowOff>
    </xdr:to>
    <xdr:cxnSp macro="">
      <xdr:nvCxnSpPr>
        <xdr:cNvPr id="23414" name="Straight Connector 59"/>
        <xdr:cNvCxnSpPr>
          <a:cxnSpLocks noChangeShapeType="1"/>
        </xdr:cNvCxnSpPr>
      </xdr:nvCxnSpPr>
      <xdr:spPr bwMode="auto">
        <a:xfrm rot="5400000">
          <a:off x="7286625" y="3905250"/>
          <a:ext cx="4419600"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238125</xdr:colOff>
      <xdr:row>21</xdr:row>
      <xdr:rowOff>123825</xdr:rowOff>
    </xdr:from>
    <xdr:to>
      <xdr:col>14</xdr:col>
      <xdr:colOff>428625</xdr:colOff>
      <xdr:row>21</xdr:row>
      <xdr:rowOff>123825</xdr:rowOff>
    </xdr:to>
    <xdr:cxnSp macro="">
      <xdr:nvCxnSpPr>
        <xdr:cNvPr id="23415" name="Straight Connector 44"/>
        <xdr:cNvCxnSpPr>
          <a:cxnSpLocks noChangeShapeType="1"/>
        </xdr:cNvCxnSpPr>
      </xdr:nvCxnSpPr>
      <xdr:spPr bwMode="auto">
        <a:xfrm>
          <a:off x="9477375" y="6124575"/>
          <a:ext cx="26193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238125</xdr:colOff>
      <xdr:row>17</xdr:row>
      <xdr:rowOff>152400</xdr:rowOff>
    </xdr:from>
    <xdr:to>
      <xdr:col>8</xdr:col>
      <xdr:colOff>457200</xdr:colOff>
      <xdr:row>17</xdr:row>
      <xdr:rowOff>152400</xdr:rowOff>
    </xdr:to>
    <xdr:cxnSp macro="">
      <xdr:nvCxnSpPr>
        <xdr:cNvPr id="23416" name="Straight Connector 41"/>
        <xdr:cNvCxnSpPr>
          <a:cxnSpLocks noChangeShapeType="1"/>
        </xdr:cNvCxnSpPr>
      </xdr:nvCxnSpPr>
      <xdr:spPr bwMode="auto">
        <a:xfrm>
          <a:off x="7048500" y="4972050"/>
          <a:ext cx="219075" cy="0"/>
        </a:xfrm>
        <a:prstGeom prst="line">
          <a:avLst/>
        </a:prstGeom>
        <a:noFill/>
        <a:ln w="44450" algn="ctr">
          <a:solidFill>
            <a:srgbClr val="80808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28575</xdr:colOff>
      <xdr:row>23</xdr:row>
      <xdr:rowOff>142875</xdr:rowOff>
    </xdr:from>
    <xdr:to>
      <xdr:col>2</xdr:col>
      <xdr:colOff>466725</xdr:colOff>
      <xdr:row>25</xdr:row>
      <xdr:rowOff>142875</xdr:rowOff>
    </xdr:to>
    <xdr:grpSp>
      <xdr:nvGrpSpPr>
        <xdr:cNvPr id="23417" name="Group 65"/>
        <xdr:cNvGrpSpPr>
          <a:grpSpLocks/>
        </xdr:cNvGrpSpPr>
      </xdr:nvGrpSpPr>
      <xdr:grpSpPr bwMode="auto">
        <a:xfrm>
          <a:off x="1984375" y="6670675"/>
          <a:ext cx="438150" cy="584200"/>
          <a:chOff x="205" y="88"/>
          <a:chExt cx="48" cy="62"/>
        </a:xfrm>
      </xdr:grpSpPr>
      <xdr:cxnSp macro="">
        <xdr:nvCxnSpPr>
          <xdr:cNvPr id="23446" name="Straight Connector 44"/>
          <xdr:cNvCxnSpPr>
            <a:cxnSpLocks noChangeShapeType="1"/>
          </xdr:cNvCxnSpPr>
        </xdr:nvCxnSpPr>
        <xdr:spPr bwMode="auto">
          <a:xfrm>
            <a:off x="230" y="119"/>
            <a:ext cx="23"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3447" name="Straight Connector 40"/>
          <xdr:cNvCxnSpPr>
            <a:cxnSpLocks noChangeShapeType="1"/>
          </xdr:cNvCxnSpPr>
        </xdr:nvCxnSpPr>
        <xdr:spPr bwMode="auto">
          <a:xfrm>
            <a:off x="205" y="88"/>
            <a:ext cx="26"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3448" name="Straight Connector 41"/>
          <xdr:cNvCxnSpPr>
            <a:cxnSpLocks noChangeShapeType="1"/>
          </xdr:cNvCxnSpPr>
        </xdr:nvCxnSpPr>
        <xdr:spPr bwMode="auto">
          <a:xfrm>
            <a:off x="205" y="150"/>
            <a:ext cx="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xnSp macro="">
        <xdr:nvCxnSpPr>
          <xdr:cNvPr id="23449" name="Straight Connector 59"/>
          <xdr:cNvCxnSpPr>
            <a:cxnSpLocks noChangeShapeType="1"/>
          </xdr:cNvCxnSpPr>
        </xdr:nvCxnSpPr>
        <xdr:spPr bwMode="auto">
          <a:xfrm rot="5400000">
            <a:off x="199" y="119"/>
            <a:ext cx="62"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28575</xdr:colOff>
      <xdr:row>27</xdr:row>
      <xdr:rowOff>152400</xdr:rowOff>
    </xdr:from>
    <xdr:to>
      <xdr:col>3</xdr:col>
      <xdr:colOff>1000125</xdr:colOff>
      <xdr:row>27</xdr:row>
      <xdr:rowOff>152400</xdr:rowOff>
    </xdr:to>
    <xdr:cxnSp macro="">
      <xdr:nvCxnSpPr>
        <xdr:cNvPr id="23418" name="Straight Connector 40"/>
        <xdr:cNvCxnSpPr>
          <a:cxnSpLocks noChangeShapeType="1"/>
        </xdr:cNvCxnSpPr>
      </xdr:nvCxnSpPr>
      <xdr:spPr bwMode="auto">
        <a:xfrm>
          <a:off x="1981200" y="7924800"/>
          <a:ext cx="14478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28575</xdr:colOff>
      <xdr:row>29</xdr:row>
      <xdr:rowOff>152400</xdr:rowOff>
    </xdr:from>
    <xdr:to>
      <xdr:col>2</xdr:col>
      <xdr:colOff>257175</xdr:colOff>
      <xdr:row>29</xdr:row>
      <xdr:rowOff>152400</xdr:rowOff>
    </xdr:to>
    <xdr:cxnSp macro="">
      <xdr:nvCxnSpPr>
        <xdr:cNvPr id="23419" name="Straight Connector 41"/>
        <xdr:cNvCxnSpPr>
          <a:cxnSpLocks noChangeShapeType="1"/>
        </xdr:cNvCxnSpPr>
      </xdr:nvCxnSpPr>
      <xdr:spPr bwMode="auto">
        <a:xfrm>
          <a:off x="1981200" y="8515350"/>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257175</xdr:colOff>
      <xdr:row>27</xdr:row>
      <xdr:rowOff>142875</xdr:rowOff>
    </xdr:from>
    <xdr:to>
      <xdr:col>2</xdr:col>
      <xdr:colOff>257175</xdr:colOff>
      <xdr:row>29</xdr:row>
      <xdr:rowOff>171450</xdr:rowOff>
    </xdr:to>
    <xdr:cxnSp macro="">
      <xdr:nvCxnSpPr>
        <xdr:cNvPr id="23420" name="Straight Connector 59"/>
        <xdr:cNvCxnSpPr>
          <a:cxnSpLocks noChangeShapeType="1"/>
        </xdr:cNvCxnSpPr>
      </xdr:nvCxnSpPr>
      <xdr:spPr bwMode="auto">
        <a:xfrm rot="5400000">
          <a:off x="1900237" y="8224838"/>
          <a:ext cx="619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47625</xdr:colOff>
      <xdr:row>29</xdr:row>
      <xdr:rowOff>152400</xdr:rowOff>
    </xdr:from>
    <xdr:to>
      <xdr:col>5</xdr:col>
      <xdr:colOff>447675</xdr:colOff>
      <xdr:row>29</xdr:row>
      <xdr:rowOff>152400</xdr:rowOff>
    </xdr:to>
    <xdr:cxnSp macro="">
      <xdr:nvCxnSpPr>
        <xdr:cNvPr id="23421" name="Straight Connector 40"/>
        <xdr:cNvCxnSpPr>
          <a:cxnSpLocks noChangeShapeType="1"/>
        </xdr:cNvCxnSpPr>
      </xdr:nvCxnSpPr>
      <xdr:spPr bwMode="auto">
        <a:xfrm>
          <a:off x="4429125" y="8515350"/>
          <a:ext cx="4000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266700</xdr:colOff>
      <xdr:row>29</xdr:row>
      <xdr:rowOff>152400</xdr:rowOff>
    </xdr:from>
    <xdr:to>
      <xdr:col>5</xdr:col>
      <xdr:colOff>266700</xdr:colOff>
      <xdr:row>31</xdr:row>
      <xdr:rowOff>152400</xdr:rowOff>
    </xdr:to>
    <xdr:cxnSp macro="">
      <xdr:nvCxnSpPr>
        <xdr:cNvPr id="23422" name="Straight Connector 59"/>
        <xdr:cNvCxnSpPr>
          <a:cxnSpLocks noChangeShapeType="1"/>
        </xdr:cNvCxnSpPr>
      </xdr:nvCxnSpPr>
      <xdr:spPr bwMode="auto">
        <a:xfrm rot="5400000">
          <a:off x="4352925" y="8810625"/>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257175</xdr:colOff>
      <xdr:row>24</xdr:row>
      <xdr:rowOff>152400</xdr:rowOff>
    </xdr:from>
    <xdr:to>
      <xdr:col>11</xdr:col>
      <xdr:colOff>466725</xdr:colOff>
      <xdr:row>24</xdr:row>
      <xdr:rowOff>152400</xdr:rowOff>
    </xdr:to>
    <xdr:cxnSp macro="">
      <xdr:nvCxnSpPr>
        <xdr:cNvPr id="23423" name="Straight Connector 44"/>
        <xdr:cNvCxnSpPr>
          <a:cxnSpLocks noChangeShapeType="1"/>
        </xdr:cNvCxnSpPr>
      </xdr:nvCxnSpPr>
      <xdr:spPr bwMode="auto">
        <a:xfrm>
          <a:off x="9496425" y="7038975"/>
          <a:ext cx="209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28575</xdr:colOff>
      <xdr:row>24</xdr:row>
      <xdr:rowOff>152400</xdr:rowOff>
    </xdr:from>
    <xdr:to>
      <xdr:col>11</xdr:col>
      <xdr:colOff>266700</xdr:colOff>
      <xdr:row>24</xdr:row>
      <xdr:rowOff>152400</xdr:rowOff>
    </xdr:to>
    <xdr:cxnSp macro="">
      <xdr:nvCxnSpPr>
        <xdr:cNvPr id="23424" name="Straight Connector 40"/>
        <xdr:cNvCxnSpPr>
          <a:cxnSpLocks noChangeShapeType="1"/>
        </xdr:cNvCxnSpPr>
      </xdr:nvCxnSpPr>
      <xdr:spPr bwMode="auto">
        <a:xfrm>
          <a:off x="9267825" y="7038975"/>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47625</xdr:colOff>
      <xdr:row>26</xdr:row>
      <xdr:rowOff>152400</xdr:rowOff>
    </xdr:from>
    <xdr:to>
      <xdr:col>11</xdr:col>
      <xdr:colOff>276225</xdr:colOff>
      <xdr:row>26</xdr:row>
      <xdr:rowOff>152400</xdr:rowOff>
    </xdr:to>
    <xdr:cxnSp macro="">
      <xdr:nvCxnSpPr>
        <xdr:cNvPr id="23425" name="Straight Connector 41"/>
        <xdr:cNvCxnSpPr>
          <a:cxnSpLocks noChangeShapeType="1"/>
        </xdr:cNvCxnSpPr>
      </xdr:nvCxnSpPr>
      <xdr:spPr bwMode="auto">
        <a:xfrm>
          <a:off x="9286875" y="762952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257175</xdr:colOff>
      <xdr:row>24</xdr:row>
      <xdr:rowOff>161925</xdr:rowOff>
    </xdr:from>
    <xdr:to>
      <xdr:col>11</xdr:col>
      <xdr:colOff>257175</xdr:colOff>
      <xdr:row>26</xdr:row>
      <xdr:rowOff>161925</xdr:rowOff>
    </xdr:to>
    <xdr:cxnSp macro="">
      <xdr:nvCxnSpPr>
        <xdr:cNvPr id="23426" name="Straight Connector 59"/>
        <xdr:cNvCxnSpPr>
          <a:cxnSpLocks noChangeShapeType="1"/>
        </xdr:cNvCxnSpPr>
      </xdr:nvCxnSpPr>
      <xdr:spPr bwMode="auto">
        <a:xfrm rot="5400000">
          <a:off x="9201150" y="7343775"/>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editAs="oneCell">
    <xdr:from>
      <xdr:col>12</xdr:col>
      <xdr:colOff>1028700</xdr:colOff>
      <xdr:row>13</xdr:row>
      <xdr:rowOff>85725</xdr:rowOff>
    </xdr:from>
    <xdr:to>
      <xdr:col>13</xdr:col>
      <xdr:colOff>333375</xdr:colOff>
      <xdr:row>16</xdr:row>
      <xdr:rowOff>276225</xdr:rowOff>
    </xdr:to>
    <xdr:pic>
      <xdr:nvPicPr>
        <xdr:cNvPr id="23427" name="Picture 8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44200" y="3724275"/>
          <a:ext cx="828675" cy="1076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1219200</xdr:colOff>
      <xdr:row>16</xdr:row>
      <xdr:rowOff>142875</xdr:rowOff>
    </xdr:from>
    <xdr:to>
      <xdr:col>13</xdr:col>
      <xdr:colOff>333375</xdr:colOff>
      <xdr:row>19</xdr:row>
      <xdr:rowOff>85725</xdr:rowOff>
    </xdr:to>
    <xdr:pic>
      <xdr:nvPicPr>
        <xdr:cNvPr id="23428" name="Picture 8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934700" y="4667250"/>
          <a:ext cx="63817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714375</xdr:colOff>
      <xdr:row>9</xdr:row>
      <xdr:rowOff>9525</xdr:rowOff>
    </xdr:from>
    <xdr:to>
      <xdr:col>13</xdr:col>
      <xdr:colOff>333375</xdr:colOff>
      <xdr:row>14</xdr:row>
      <xdr:rowOff>9525</xdr:rowOff>
    </xdr:to>
    <xdr:pic>
      <xdr:nvPicPr>
        <xdr:cNvPr id="23429" name="Picture 9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429875" y="2466975"/>
          <a:ext cx="1143000" cy="1476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28575</xdr:colOff>
      <xdr:row>31</xdr:row>
      <xdr:rowOff>152400</xdr:rowOff>
    </xdr:from>
    <xdr:to>
      <xdr:col>2</xdr:col>
      <xdr:colOff>457200</xdr:colOff>
      <xdr:row>31</xdr:row>
      <xdr:rowOff>152400</xdr:rowOff>
    </xdr:to>
    <xdr:cxnSp macro="">
      <xdr:nvCxnSpPr>
        <xdr:cNvPr id="23430" name="Straight Connector 40"/>
        <xdr:cNvCxnSpPr>
          <a:cxnSpLocks noChangeShapeType="1"/>
        </xdr:cNvCxnSpPr>
      </xdr:nvCxnSpPr>
      <xdr:spPr bwMode="auto">
        <a:xfrm>
          <a:off x="1981200" y="9105900"/>
          <a:ext cx="4286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24</xdr:row>
      <xdr:rowOff>152400</xdr:rowOff>
    </xdr:from>
    <xdr:to>
      <xdr:col>8</xdr:col>
      <xdr:colOff>447675</xdr:colOff>
      <xdr:row>24</xdr:row>
      <xdr:rowOff>152400</xdr:rowOff>
    </xdr:to>
    <xdr:cxnSp macro="">
      <xdr:nvCxnSpPr>
        <xdr:cNvPr id="23431" name="Straight Connector 44"/>
        <xdr:cNvCxnSpPr>
          <a:cxnSpLocks noChangeShapeType="1"/>
        </xdr:cNvCxnSpPr>
      </xdr:nvCxnSpPr>
      <xdr:spPr bwMode="auto">
        <a:xfrm>
          <a:off x="7067550" y="7038975"/>
          <a:ext cx="1905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23</xdr:row>
      <xdr:rowOff>152400</xdr:rowOff>
    </xdr:from>
    <xdr:to>
      <xdr:col>8</xdr:col>
      <xdr:colOff>266700</xdr:colOff>
      <xdr:row>23</xdr:row>
      <xdr:rowOff>152400</xdr:rowOff>
    </xdr:to>
    <xdr:cxnSp macro="">
      <xdr:nvCxnSpPr>
        <xdr:cNvPr id="23432" name="Straight Connector 40"/>
        <xdr:cNvCxnSpPr>
          <a:cxnSpLocks noChangeShapeType="1"/>
        </xdr:cNvCxnSpPr>
      </xdr:nvCxnSpPr>
      <xdr:spPr bwMode="auto">
        <a:xfrm>
          <a:off x="6838950" y="6743700"/>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25</xdr:row>
      <xdr:rowOff>152400</xdr:rowOff>
    </xdr:from>
    <xdr:to>
      <xdr:col>8</xdr:col>
      <xdr:colOff>257175</xdr:colOff>
      <xdr:row>25</xdr:row>
      <xdr:rowOff>152400</xdr:rowOff>
    </xdr:to>
    <xdr:cxnSp macro="">
      <xdr:nvCxnSpPr>
        <xdr:cNvPr id="23433" name="Straight Connector 41"/>
        <xdr:cNvCxnSpPr>
          <a:cxnSpLocks noChangeShapeType="1"/>
        </xdr:cNvCxnSpPr>
      </xdr:nvCxnSpPr>
      <xdr:spPr bwMode="auto">
        <a:xfrm>
          <a:off x="6838950" y="7334250"/>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23</xdr:row>
      <xdr:rowOff>152400</xdr:rowOff>
    </xdr:from>
    <xdr:to>
      <xdr:col>8</xdr:col>
      <xdr:colOff>257175</xdr:colOff>
      <xdr:row>25</xdr:row>
      <xdr:rowOff>152400</xdr:rowOff>
    </xdr:to>
    <xdr:cxnSp macro="">
      <xdr:nvCxnSpPr>
        <xdr:cNvPr id="23434" name="Straight Connector 59"/>
        <xdr:cNvCxnSpPr>
          <a:cxnSpLocks noChangeShapeType="1"/>
        </xdr:cNvCxnSpPr>
      </xdr:nvCxnSpPr>
      <xdr:spPr bwMode="auto">
        <a:xfrm rot="5400000">
          <a:off x="6772275" y="7038975"/>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47625</xdr:colOff>
      <xdr:row>28</xdr:row>
      <xdr:rowOff>142875</xdr:rowOff>
    </xdr:from>
    <xdr:to>
      <xdr:col>14</xdr:col>
      <xdr:colOff>276225</xdr:colOff>
      <xdr:row>28</xdr:row>
      <xdr:rowOff>142875</xdr:rowOff>
    </xdr:to>
    <xdr:cxnSp macro="">
      <xdr:nvCxnSpPr>
        <xdr:cNvPr id="23435" name="Straight Connector 41"/>
        <xdr:cNvCxnSpPr>
          <a:cxnSpLocks noChangeShapeType="1"/>
        </xdr:cNvCxnSpPr>
      </xdr:nvCxnSpPr>
      <xdr:spPr bwMode="auto">
        <a:xfrm>
          <a:off x="11715750" y="8210550"/>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285750</xdr:colOff>
      <xdr:row>25</xdr:row>
      <xdr:rowOff>152400</xdr:rowOff>
    </xdr:from>
    <xdr:to>
      <xdr:col>14</xdr:col>
      <xdr:colOff>438150</xdr:colOff>
      <xdr:row>25</xdr:row>
      <xdr:rowOff>152400</xdr:rowOff>
    </xdr:to>
    <xdr:cxnSp macro="">
      <xdr:nvCxnSpPr>
        <xdr:cNvPr id="23436" name="Straight Connector 40"/>
        <xdr:cNvCxnSpPr>
          <a:cxnSpLocks noChangeShapeType="1"/>
        </xdr:cNvCxnSpPr>
      </xdr:nvCxnSpPr>
      <xdr:spPr bwMode="auto">
        <a:xfrm>
          <a:off x="11953875" y="7334250"/>
          <a:ext cx="1524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266700</xdr:colOff>
      <xdr:row>24</xdr:row>
      <xdr:rowOff>142875</xdr:rowOff>
    </xdr:from>
    <xdr:to>
      <xdr:col>14</xdr:col>
      <xdr:colOff>266700</xdr:colOff>
      <xdr:row>28</xdr:row>
      <xdr:rowOff>152400</xdr:rowOff>
    </xdr:to>
    <xdr:cxnSp macro="">
      <xdr:nvCxnSpPr>
        <xdr:cNvPr id="23437" name="Straight Connector 59"/>
        <xdr:cNvCxnSpPr>
          <a:cxnSpLocks noChangeShapeType="1"/>
        </xdr:cNvCxnSpPr>
      </xdr:nvCxnSpPr>
      <xdr:spPr bwMode="auto">
        <a:xfrm rot="5400000">
          <a:off x="11339512" y="7624763"/>
          <a:ext cx="11906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14</xdr:col>
      <xdr:colOff>47625</xdr:colOff>
      <xdr:row>24</xdr:row>
      <xdr:rowOff>152400</xdr:rowOff>
    </xdr:from>
    <xdr:to>
      <xdr:col>14</xdr:col>
      <xdr:colOff>276225</xdr:colOff>
      <xdr:row>24</xdr:row>
      <xdr:rowOff>152400</xdr:rowOff>
    </xdr:to>
    <xdr:cxnSp macro="">
      <xdr:nvCxnSpPr>
        <xdr:cNvPr id="23438" name="Straight Connector 41"/>
        <xdr:cNvCxnSpPr>
          <a:cxnSpLocks noChangeShapeType="1"/>
        </xdr:cNvCxnSpPr>
      </xdr:nvCxnSpPr>
      <xdr:spPr bwMode="auto">
        <a:xfrm>
          <a:off x="11715750" y="7038975"/>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3</xdr:col>
      <xdr:colOff>962025</xdr:colOff>
      <xdr:row>25</xdr:row>
      <xdr:rowOff>152400</xdr:rowOff>
    </xdr:from>
    <xdr:to>
      <xdr:col>5</xdr:col>
      <xdr:colOff>457200</xdr:colOff>
      <xdr:row>25</xdr:row>
      <xdr:rowOff>152400</xdr:rowOff>
    </xdr:to>
    <xdr:cxnSp macro="">
      <xdr:nvCxnSpPr>
        <xdr:cNvPr id="23439" name="Straight Connector 40"/>
        <xdr:cNvCxnSpPr>
          <a:cxnSpLocks noChangeShapeType="1"/>
        </xdr:cNvCxnSpPr>
      </xdr:nvCxnSpPr>
      <xdr:spPr bwMode="auto">
        <a:xfrm>
          <a:off x="3390900" y="7334250"/>
          <a:ext cx="14478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3</xdr:col>
      <xdr:colOff>981075</xdr:colOff>
      <xdr:row>25</xdr:row>
      <xdr:rowOff>142875</xdr:rowOff>
    </xdr:from>
    <xdr:to>
      <xdr:col>3</xdr:col>
      <xdr:colOff>981075</xdr:colOff>
      <xdr:row>27</xdr:row>
      <xdr:rowOff>171450</xdr:rowOff>
    </xdr:to>
    <xdr:cxnSp macro="">
      <xdr:nvCxnSpPr>
        <xdr:cNvPr id="23440" name="Straight Connector 59"/>
        <xdr:cNvCxnSpPr>
          <a:cxnSpLocks noChangeShapeType="1"/>
        </xdr:cNvCxnSpPr>
      </xdr:nvCxnSpPr>
      <xdr:spPr bwMode="auto">
        <a:xfrm rot="5400000">
          <a:off x="3100387" y="7634288"/>
          <a:ext cx="619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12</xdr:col>
      <xdr:colOff>1504950</xdr:colOff>
      <xdr:row>78</xdr:row>
      <xdr:rowOff>95250</xdr:rowOff>
    </xdr:from>
    <xdr:to>
      <xdr:col>13</xdr:col>
      <xdr:colOff>419100</xdr:colOff>
      <xdr:row>78</xdr:row>
      <xdr:rowOff>95250</xdr:rowOff>
    </xdr:to>
    <xdr:cxnSp macro="">
      <xdr:nvCxnSpPr>
        <xdr:cNvPr id="23441" name="Straight Connector 40"/>
        <xdr:cNvCxnSpPr>
          <a:cxnSpLocks noChangeShapeType="1"/>
        </xdr:cNvCxnSpPr>
      </xdr:nvCxnSpPr>
      <xdr:spPr bwMode="auto">
        <a:xfrm>
          <a:off x="11220450" y="17173575"/>
          <a:ext cx="4381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238125</xdr:colOff>
      <xdr:row>28</xdr:row>
      <xdr:rowOff>152400</xdr:rowOff>
    </xdr:from>
    <xdr:to>
      <xdr:col>11</xdr:col>
      <xdr:colOff>457200</xdr:colOff>
      <xdr:row>28</xdr:row>
      <xdr:rowOff>152400</xdr:rowOff>
    </xdr:to>
    <xdr:cxnSp macro="">
      <xdr:nvCxnSpPr>
        <xdr:cNvPr id="23442" name="Straight Connector 44"/>
        <xdr:cNvCxnSpPr>
          <a:cxnSpLocks noChangeShapeType="1"/>
        </xdr:cNvCxnSpPr>
      </xdr:nvCxnSpPr>
      <xdr:spPr bwMode="auto">
        <a:xfrm>
          <a:off x="7048500" y="8220075"/>
          <a:ext cx="26479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27</xdr:row>
      <xdr:rowOff>152400</xdr:rowOff>
    </xdr:from>
    <xdr:to>
      <xdr:col>8</xdr:col>
      <xdr:colOff>266700</xdr:colOff>
      <xdr:row>27</xdr:row>
      <xdr:rowOff>152400</xdr:rowOff>
    </xdr:to>
    <xdr:cxnSp macro="">
      <xdr:nvCxnSpPr>
        <xdr:cNvPr id="23443" name="Straight Connector 40"/>
        <xdr:cNvCxnSpPr>
          <a:cxnSpLocks noChangeShapeType="1"/>
        </xdr:cNvCxnSpPr>
      </xdr:nvCxnSpPr>
      <xdr:spPr bwMode="auto">
        <a:xfrm>
          <a:off x="6838950" y="7924800"/>
          <a:ext cx="238125"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28575</xdr:colOff>
      <xdr:row>29</xdr:row>
      <xdr:rowOff>152400</xdr:rowOff>
    </xdr:from>
    <xdr:to>
      <xdr:col>8</xdr:col>
      <xdr:colOff>257175</xdr:colOff>
      <xdr:row>29</xdr:row>
      <xdr:rowOff>152400</xdr:rowOff>
    </xdr:to>
    <xdr:cxnSp macro="">
      <xdr:nvCxnSpPr>
        <xdr:cNvPr id="23444" name="Straight Connector 41"/>
        <xdr:cNvCxnSpPr>
          <a:cxnSpLocks noChangeShapeType="1"/>
        </xdr:cNvCxnSpPr>
      </xdr:nvCxnSpPr>
      <xdr:spPr bwMode="auto">
        <a:xfrm>
          <a:off x="6838950" y="8515350"/>
          <a:ext cx="22860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257175</xdr:colOff>
      <xdr:row>27</xdr:row>
      <xdr:rowOff>161925</xdr:rowOff>
    </xdr:from>
    <xdr:to>
      <xdr:col>8</xdr:col>
      <xdr:colOff>257175</xdr:colOff>
      <xdr:row>29</xdr:row>
      <xdr:rowOff>161925</xdr:rowOff>
    </xdr:to>
    <xdr:cxnSp macro="">
      <xdr:nvCxnSpPr>
        <xdr:cNvPr id="23445" name="Straight Connector 59"/>
        <xdr:cNvCxnSpPr>
          <a:cxnSpLocks noChangeShapeType="1"/>
        </xdr:cNvCxnSpPr>
      </xdr:nvCxnSpPr>
      <xdr:spPr bwMode="auto">
        <a:xfrm rot="5400000">
          <a:off x="6772275" y="8229600"/>
          <a:ext cx="590550" cy="0"/>
        </a:xfrm>
        <a:prstGeom prst="line">
          <a:avLst/>
        </a:prstGeom>
        <a:noFill/>
        <a:ln w="44450" algn="ctr">
          <a:solidFill>
            <a:srgbClr val="333399"/>
          </a:solidFill>
          <a:round/>
          <a:headEnd/>
          <a:tailEnd/>
        </a:ln>
        <a:extLst>
          <a:ext uri="{909E8E84-426E-40DD-AFC4-6F175D3DCCD1}">
            <a14:hiddenFill xmlns:a14="http://schemas.microsoft.com/office/drawing/2010/main">
              <a:noFill/>
            </a14:hiddenFill>
          </a:ext>
        </a:extLst>
      </xdr:spPr>
    </xdr:cxn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lha1"/>
  <dimension ref="A1:BA277"/>
  <sheetViews>
    <sheetView tabSelected="1" zoomScaleNormal="86" workbookViewId="0">
      <selection activeCell="M20" sqref="M20"/>
    </sheetView>
  </sheetViews>
  <sheetFormatPr defaultRowHeight="12.75" x14ac:dyDescent="0.2"/>
  <cols>
    <col min="1" max="1" width="25" style="65" customWidth="1"/>
    <col min="2" max="2" width="7" style="65" customWidth="1"/>
    <col min="3" max="6" width="7" style="59" customWidth="1"/>
    <col min="7" max="7" width="7" style="68" customWidth="1"/>
    <col min="8" max="10" width="7" style="59" customWidth="1"/>
    <col min="11" max="12" width="7" style="65" customWidth="1"/>
    <col min="13" max="13" width="18.625" style="65" customWidth="1"/>
    <col min="14" max="16" width="7" style="65" customWidth="1"/>
    <col min="17" max="17" width="10.125" style="65" customWidth="1"/>
    <col min="18" max="18" width="6.875" style="65" customWidth="1"/>
    <col min="19" max="20" width="18.625" style="65" hidden="1" customWidth="1"/>
    <col min="21" max="23" width="6.25" style="65" hidden="1" customWidth="1"/>
    <col min="24" max="24" width="6.25" style="71" customWidth="1"/>
    <col min="25" max="28" width="6.25" style="65" hidden="1" customWidth="1"/>
    <col min="29" max="29" width="4.875" style="65" hidden="1" customWidth="1"/>
    <col min="30" max="30" width="23.25" style="65" hidden="1" customWidth="1"/>
    <col min="31" max="31" width="9.125" style="65" hidden="1" customWidth="1"/>
    <col min="32" max="32" width="10.375" style="65" hidden="1" customWidth="1"/>
    <col min="33" max="33" width="9.125" style="65" hidden="1" customWidth="1"/>
    <col min="34" max="34" width="9.625" style="65" hidden="1" customWidth="1"/>
    <col min="35" max="35" width="9.125" style="65" hidden="1" customWidth="1"/>
    <col min="36" max="36" width="6.25" style="65" customWidth="1"/>
    <col min="37" max="37" width="4.625" style="65" customWidth="1"/>
    <col min="38" max="39" width="9" style="65"/>
    <col min="40" max="43" width="12.25" style="65" customWidth="1"/>
    <col min="44" max="52" width="9" style="65"/>
    <col min="53" max="53" width="3" style="65" customWidth="1"/>
    <col min="54" max="16384" width="9" style="65"/>
  </cols>
  <sheetData>
    <row r="1" spans="1:53" s="68" customFormat="1" ht="18.75" customHeight="1" x14ac:dyDescent="0.2">
      <c r="A1" s="306" t="s">
        <v>70</v>
      </c>
      <c r="B1" s="306"/>
      <c r="C1" s="306"/>
      <c r="D1" s="306"/>
      <c r="E1" s="306"/>
      <c r="F1" s="306"/>
      <c r="G1" s="306"/>
      <c r="H1" s="306"/>
      <c r="I1" s="306"/>
      <c r="J1" s="306"/>
      <c r="L1" s="306" t="s">
        <v>64</v>
      </c>
      <c r="M1" s="306"/>
      <c r="N1" s="306"/>
      <c r="O1" s="306"/>
      <c r="P1" s="306"/>
      <c r="Q1" s="313" t="s">
        <v>102</v>
      </c>
      <c r="R1" s="313"/>
      <c r="S1" s="195"/>
      <c r="T1" s="196"/>
      <c r="U1" s="196"/>
      <c r="V1" s="196"/>
      <c r="W1" s="196"/>
      <c r="X1" s="72"/>
      <c r="AC1" s="98"/>
      <c r="AD1" s="314" t="s">
        <v>64</v>
      </c>
      <c r="AE1" s="99"/>
      <c r="AF1" s="99"/>
      <c r="AG1" s="99"/>
      <c r="AH1" s="100"/>
      <c r="AI1" s="101"/>
      <c r="AJ1" s="72"/>
      <c r="AK1" s="183"/>
      <c r="AL1" s="310" t="s">
        <v>99</v>
      </c>
      <c r="AM1" s="310"/>
      <c r="AN1" s="310"/>
      <c r="AO1" s="311" t="s">
        <v>100</v>
      </c>
      <c r="AP1" s="311"/>
      <c r="AQ1" s="311"/>
      <c r="AR1" s="311"/>
      <c r="AS1" s="311"/>
      <c r="AT1" s="311"/>
      <c r="AU1" s="312" t="s">
        <v>101</v>
      </c>
      <c r="AV1" s="312"/>
      <c r="AW1" s="312"/>
      <c r="AX1" s="312"/>
      <c r="AY1" s="312"/>
      <c r="AZ1" s="312"/>
      <c r="BA1" s="312"/>
    </row>
    <row r="2" spans="1:53" s="68" customFormat="1" ht="23.25" customHeight="1" x14ac:dyDescent="0.2">
      <c r="A2" s="306"/>
      <c r="B2" s="306"/>
      <c r="C2" s="306"/>
      <c r="D2" s="306"/>
      <c r="E2" s="306"/>
      <c r="F2" s="306"/>
      <c r="G2" s="306"/>
      <c r="H2" s="306"/>
      <c r="I2" s="306"/>
      <c r="J2" s="306"/>
      <c r="L2" s="306"/>
      <c r="M2" s="306"/>
      <c r="N2" s="306"/>
      <c r="O2" s="306"/>
      <c r="P2" s="306"/>
      <c r="Q2" s="313"/>
      <c r="R2" s="313"/>
      <c r="S2" s="197"/>
      <c r="T2" s="195"/>
      <c r="U2" s="196"/>
      <c r="V2" s="196"/>
      <c r="W2" s="196"/>
      <c r="X2" s="72"/>
      <c r="AC2" s="102"/>
      <c r="AD2" s="315"/>
      <c r="AE2" s="103"/>
      <c r="AF2" s="103"/>
      <c r="AG2" s="103"/>
      <c r="AH2" s="104"/>
      <c r="AI2" s="101"/>
      <c r="AJ2" s="72"/>
      <c r="AK2" s="184"/>
      <c r="AL2" s="310"/>
      <c r="AM2" s="310"/>
      <c r="AN2" s="310"/>
      <c r="AO2" s="311"/>
      <c r="AP2" s="311"/>
      <c r="AQ2" s="311"/>
      <c r="AR2" s="311"/>
      <c r="AS2" s="311"/>
      <c r="AT2" s="311"/>
      <c r="AU2" s="312"/>
      <c r="AV2" s="312"/>
      <c r="AW2" s="312"/>
      <c r="AX2" s="312"/>
      <c r="AY2" s="312"/>
      <c r="AZ2" s="312"/>
      <c r="BA2" s="312"/>
    </row>
    <row r="3" spans="1:53" s="68" customFormat="1" ht="18.75" customHeight="1" thickBot="1" x14ac:dyDescent="0.25">
      <c r="A3" s="305" t="s">
        <v>103</v>
      </c>
      <c r="B3" s="305"/>
      <c r="C3" s="305"/>
      <c r="D3" s="305"/>
      <c r="E3" s="305"/>
      <c r="F3" s="305"/>
      <c r="G3" s="305"/>
      <c r="H3" s="305"/>
      <c r="I3" s="305"/>
      <c r="J3" s="305"/>
      <c r="L3" s="198">
        <v>1</v>
      </c>
      <c r="Q3" s="307" t="s">
        <v>68</v>
      </c>
      <c r="R3" s="75"/>
      <c r="T3" s="308" t="s">
        <v>97</v>
      </c>
      <c r="U3" s="308"/>
      <c r="V3" s="308"/>
      <c r="W3" s="308"/>
      <c r="X3" s="72"/>
      <c r="AC3" s="105"/>
      <c r="AD3" s="106" t="s">
        <v>32</v>
      </c>
      <c r="AE3" s="107" t="s">
        <v>24</v>
      </c>
      <c r="AF3" s="107" t="s">
        <v>25</v>
      </c>
      <c r="AG3" s="107" t="s">
        <v>26</v>
      </c>
      <c r="AH3" s="108" t="s">
        <v>67</v>
      </c>
      <c r="AI3" s="101"/>
      <c r="AJ3" s="72"/>
      <c r="AK3" s="184"/>
      <c r="AL3" s="183"/>
      <c r="AM3" s="183"/>
      <c r="AN3" s="183"/>
      <c r="AO3" s="183"/>
      <c r="AP3" s="183"/>
      <c r="AQ3" s="183"/>
      <c r="AR3" s="183"/>
      <c r="AS3" s="183"/>
      <c r="AT3" s="183"/>
      <c r="AU3" s="183"/>
      <c r="AV3" s="183"/>
      <c r="AW3" s="183"/>
      <c r="AX3" s="183"/>
      <c r="AY3" s="183"/>
      <c r="AZ3" s="183"/>
      <c r="BA3" s="183"/>
    </row>
    <row r="4" spans="1:53" s="68" customFormat="1" ht="18.75" customHeight="1" x14ac:dyDescent="0.2">
      <c r="A4" s="305"/>
      <c r="B4" s="305"/>
      <c r="C4" s="305"/>
      <c r="D4" s="305"/>
      <c r="E4" s="305"/>
      <c r="F4" s="305"/>
      <c r="G4" s="305"/>
      <c r="H4" s="305"/>
      <c r="I4" s="305"/>
      <c r="J4" s="305"/>
      <c r="Q4" s="307"/>
      <c r="S4" s="72"/>
      <c r="T4" s="308"/>
      <c r="U4" s="308"/>
      <c r="V4" s="308"/>
      <c r="W4" s="308"/>
      <c r="X4" s="72"/>
      <c r="AC4" s="105"/>
      <c r="AD4" s="109"/>
      <c r="AE4" s="109"/>
      <c r="AF4" s="109"/>
      <c r="AG4" s="109"/>
      <c r="AH4" s="104"/>
      <c r="AI4" s="101"/>
      <c r="AJ4" s="72"/>
      <c r="AK4" s="185"/>
      <c r="AL4" s="183"/>
      <c r="AM4" s="183"/>
      <c r="AN4" s="183"/>
      <c r="AO4" s="183"/>
      <c r="AP4" s="183"/>
      <c r="AQ4" s="183"/>
      <c r="AR4" s="183"/>
      <c r="AS4" s="183"/>
      <c r="AT4" s="183"/>
      <c r="AU4" s="183"/>
      <c r="AV4" s="183"/>
      <c r="AW4" s="183"/>
      <c r="AX4" s="183"/>
      <c r="AY4" s="183"/>
      <c r="AZ4" s="183"/>
      <c r="BA4" s="183"/>
    </row>
    <row r="5" spans="1:53" ht="18.75" customHeight="1" thickBot="1" x14ac:dyDescent="0.25">
      <c r="A5" s="305"/>
      <c r="B5" s="305"/>
      <c r="C5" s="305"/>
      <c r="D5" s="305"/>
      <c r="E5" s="305"/>
      <c r="F5" s="305"/>
      <c r="G5" s="305"/>
      <c r="H5" s="305"/>
      <c r="I5" s="305"/>
      <c r="J5" s="305"/>
      <c r="L5" s="68"/>
      <c r="M5" s="73" t="str">
        <f>IF(L3=1,"Nomes dos JOGADORES",IF(L3=2,"Nomes das EQUIPAS","Nomes"))</f>
        <v>Nomes dos JOGADORES</v>
      </c>
      <c r="N5" s="74" t="s">
        <v>24</v>
      </c>
      <c r="O5" s="74" t="s">
        <v>25</v>
      </c>
      <c r="P5" s="74" t="s">
        <v>26</v>
      </c>
      <c r="Q5" s="161" t="s">
        <v>67</v>
      </c>
      <c r="R5" s="75"/>
      <c r="S5" s="73" t="s">
        <v>96</v>
      </c>
      <c r="T5" s="73" t="s">
        <v>98</v>
      </c>
      <c r="U5" s="161" t="s">
        <v>24</v>
      </c>
      <c r="V5" s="161" t="s">
        <v>25</v>
      </c>
      <c r="W5" s="161" t="s">
        <v>26</v>
      </c>
      <c r="AC5" s="105"/>
      <c r="AD5" s="110"/>
      <c r="AE5" s="103"/>
      <c r="AF5" s="103"/>
      <c r="AG5" s="103"/>
      <c r="AH5" s="111"/>
      <c r="AI5" s="112"/>
      <c r="AJ5" s="71"/>
      <c r="AK5" s="185"/>
      <c r="AL5" s="183"/>
      <c r="AM5" s="183"/>
      <c r="AN5" s="183"/>
      <c r="AO5" s="183"/>
      <c r="AP5" s="183"/>
      <c r="AQ5" s="183"/>
      <c r="AR5" s="183"/>
      <c r="AS5" s="183"/>
      <c r="AT5" s="183"/>
      <c r="AU5" s="183"/>
      <c r="AV5" s="183"/>
      <c r="AW5" s="183"/>
      <c r="AX5" s="183"/>
      <c r="AY5" s="183"/>
      <c r="AZ5" s="183"/>
      <c r="BA5" s="183"/>
    </row>
    <row r="6" spans="1:53" ht="18.75" customHeight="1" x14ac:dyDescent="0.2">
      <c r="A6" s="309" t="s">
        <v>72</v>
      </c>
      <c r="B6" s="309"/>
      <c r="C6" s="309"/>
      <c r="D6" s="309"/>
      <c r="E6" s="309"/>
      <c r="F6" s="309"/>
      <c r="G6" s="309"/>
      <c r="H6" s="309"/>
      <c r="I6" s="309"/>
      <c r="J6" s="309"/>
      <c r="L6" s="76">
        <v>1</v>
      </c>
      <c r="M6" s="166" t="s">
        <v>104</v>
      </c>
      <c r="N6" s="167"/>
      <c r="O6" s="167"/>
      <c r="P6" s="167"/>
      <c r="Q6" s="172"/>
      <c r="S6" s="162" t="str">
        <f>IF(M6="","",UPPER(M6))</f>
        <v>A</v>
      </c>
      <c r="T6" s="170"/>
      <c r="U6" s="171"/>
      <c r="V6" s="171"/>
      <c r="W6" s="174"/>
      <c r="AC6" s="113">
        <v>1</v>
      </c>
      <c r="AD6" s="114" t="str">
        <f t="shared" ref="AD6:AD29" si="0">IF(M6="","",IF(AH6=TRUE,"(FALTA de COMP.)",UPPER(M6)))</f>
        <v>A</v>
      </c>
      <c r="AE6" s="115">
        <f t="shared" ref="AE6:AE30" si="1">IF($M6="","",N6)</f>
        <v>0</v>
      </c>
      <c r="AF6" s="115">
        <f t="shared" ref="AF6:AF30" si="2">IF($M6="","",O6)</f>
        <v>0</v>
      </c>
      <c r="AG6" s="115" t="str">
        <f t="shared" ref="AG6:AG30" si="3">IF($M6="","",UPPER(P6))</f>
        <v/>
      </c>
      <c r="AH6" s="135" t="b">
        <v>0</v>
      </c>
      <c r="AI6" s="112"/>
      <c r="AJ6" s="71"/>
      <c r="AK6" s="185"/>
      <c r="AL6" s="183"/>
      <c r="AM6" s="183"/>
      <c r="AN6" s="183"/>
      <c r="AO6" s="183"/>
      <c r="AP6" s="183"/>
      <c r="AQ6" s="183"/>
      <c r="AR6" s="183"/>
      <c r="AS6" s="183"/>
      <c r="AT6" s="183"/>
      <c r="AU6" s="183"/>
      <c r="AV6" s="183"/>
      <c r="AW6" s="183"/>
      <c r="AX6" s="183"/>
      <c r="AY6" s="183"/>
      <c r="AZ6" s="183"/>
      <c r="BA6" s="183"/>
    </row>
    <row r="7" spans="1:53" ht="18.75" customHeight="1" x14ac:dyDescent="0.2">
      <c r="A7" s="309"/>
      <c r="B7" s="309"/>
      <c r="C7" s="309"/>
      <c r="D7" s="309"/>
      <c r="E7" s="309"/>
      <c r="F7" s="309"/>
      <c r="G7" s="309"/>
      <c r="H7" s="309"/>
      <c r="I7" s="309"/>
      <c r="J7" s="309"/>
      <c r="L7" s="76">
        <v>2</v>
      </c>
      <c r="M7" s="166" t="s">
        <v>105</v>
      </c>
      <c r="N7" s="167"/>
      <c r="O7" s="167"/>
      <c r="P7" s="167"/>
      <c r="Q7" s="172"/>
      <c r="T7" s="166"/>
      <c r="U7" s="167"/>
      <c r="V7" s="167"/>
      <c r="W7" s="175"/>
      <c r="AC7" s="113">
        <v>2</v>
      </c>
      <c r="AD7" s="114" t="str">
        <f t="shared" si="0"/>
        <v>B</v>
      </c>
      <c r="AE7" s="115">
        <f t="shared" si="1"/>
        <v>0</v>
      </c>
      <c r="AF7" s="115">
        <f t="shared" si="2"/>
        <v>0</v>
      </c>
      <c r="AG7" s="115" t="str">
        <f t="shared" si="3"/>
        <v/>
      </c>
      <c r="AH7" s="135" t="b">
        <v>0</v>
      </c>
      <c r="AI7" s="112"/>
      <c r="AJ7" s="71"/>
      <c r="AK7" s="185"/>
      <c r="AL7" s="186"/>
      <c r="AM7" s="186"/>
      <c r="AN7" s="186"/>
      <c r="AO7" s="186"/>
      <c r="AP7" s="186"/>
      <c r="AQ7" s="186"/>
      <c r="AR7" s="186"/>
      <c r="AS7" s="186"/>
      <c r="AT7" s="183"/>
      <c r="AU7" s="183"/>
      <c r="AV7" s="183"/>
      <c r="AW7" s="183"/>
      <c r="AX7" s="183"/>
      <c r="AY7" s="183"/>
      <c r="AZ7" s="183"/>
      <c r="BA7" s="183"/>
    </row>
    <row r="8" spans="1:53" ht="18.75" customHeight="1" x14ac:dyDescent="0.2">
      <c r="A8" s="59"/>
      <c r="B8" s="68"/>
      <c r="G8" s="59"/>
      <c r="H8" s="65"/>
      <c r="I8" s="65"/>
      <c r="L8" s="76">
        <v>3</v>
      </c>
      <c r="M8" s="166" t="s">
        <v>106</v>
      </c>
      <c r="N8" s="167"/>
      <c r="O8" s="167"/>
      <c r="P8" s="167"/>
      <c r="Q8" s="172"/>
      <c r="T8" s="166"/>
      <c r="U8" s="167"/>
      <c r="V8" s="167"/>
      <c r="W8" s="175"/>
      <c r="AC8" s="113">
        <v>3</v>
      </c>
      <c r="AD8" s="114" t="str">
        <f t="shared" si="0"/>
        <v>C</v>
      </c>
      <c r="AE8" s="115">
        <f t="shared" si="1"/>
        <v>0</v>
      </c>
      <c r="AF8" s="115">
        <f t="shared" si="2"/>
        <v>0</v>
      </c>
      <c r="AG8" s="115" t="str">
        <f t="shared" si="3"/>
        <v/>
      </c>
      <c r="AH8" s="135" t="b">
        <v>0</v>
      </c>
      <c r="AI8" s="112"/>
      <c r="AJ8" s="71"/>
      <c r="AK8" s="185"/>
      <c r="AL8" s="186"/>
      <c r="AM8" s="186"/>
      <c r="AN8" s="186"/>
      <c r="AO8" s="186"/>
      <c r="AP8" s="186"/>
      <c r="AQ8" s="186"/>
      <c r="AR8" s="186"/>
      <c r="AS8" s="186"/>
      <c r="AT8" s="183"/>
      <c r="AU8" s="183"/>
      <c r="AV8" s="183"/>
      <c r="AW8" s="183"/>
      <c r="AX8" s="183"/>
      <c r="AY8" s="183"/>
      <c r="AZ8" s="183"/>
      <c r="BA8" s="183"/>
    </row>
    <row r="9" spans="1:53" ht="18.75" customHeight="1" x14ac:dyDescent="0.2">
      <c r="A9" s="80"/>
      <c r="B9" s="69" t="s">
        <v>65</v>
      </c>
      <c r="C9" s="68"/>
      <c r="D9" s="304" t="s">
        <v>129</v>
      </c>
      <c r="E9" s="304"/>
      <c r="F9" s="304"/>
      <c r="G9" s="304"/>
      <c r="H9" s="304"/>
      <c r="I9" s="304"/>
      <c r="J9" s="304"/>
      <c r="L9" s="76">
        <v>4</v>
      </c>
      <c r="M9" s="166" t="s">
        <v>107</v>
      </c>
      <c r="N9" s="167"/>
      <c r="O9" s="167"/>
      <c r="P9" s="167"/>
      <c r="Q9" s="172"/>
      <c r="T9" s="166"/>
      <c r="U9" s="167"/>
      <c r="V9" s="167"/>
      <c r="W9" s="175"/>
      <c r="AC9" s="113">
        <v>4</v>
      </c>
      <c r="AD9" s="114" t="str">
        <f t="shared" si="0"/>
        <v>D</v>
      </c>
      <c r="AE9" s="115">
        <f t="shared" si="1"/>
        <v>0</v>
      </c>
      <c r="AF9" s="115">
        <f t="shared" si="2"/>
        <v>0</v>
      </c>
      <c r="AG9" s="115" t="str">
        <f t="shared" si="3"/>
        <v/>
      </c>
      <c r="AH9" s="135" t="b">
        <v>0</v>
      </c>
      <c r="AI9" s="112"/>
      <c r="AJ9" s="71"/>
      <c r="AK9" s="185"/>
      <c r="AL9" s="187"/>
      <c r="AM9" s="187"/>
      <c r="AN9" s="187"/>
      <c r="AO9" s="187"/>
      <c r="AP9" s="187"/>
      <c r="AQ9" s="187"/>
      <c r="AR9" s="187"/>
      <c r="AS9" s="187"/>
      <c r="AT9" s="187"/>
      <c r="AU9" s="187"/>
      <c r="AV9" s="187"/>
      <c r="AW9" s="187"/>
      <c r="AX9" s="187"/>
      <c r="AY9" s="187"/>
      <c r="AZ9" s="187"/>
      <c r="BA9" s="183"/>
    </row>
    <row r="10" spans="1:53" ht="18.75" customHeight="1" x14ac:dyDescent="0.2">
      <c r="A10" s="95"/>
      <c r="B10" s="94" t="s">
        <v>79</v>
      </c>
      <c r="C10" s="68"/>
      <c r="D10" s="163">
        <v>0.41666666666666669</v>
      </c>
      <c r="E10" s="96" t="s">
        <v>74</v>
      </c>
      <c r="F10" s="95"/>
      <c r="G10" s="303">
        <v>43523</v>
      </c>
      <c r="H10" s="303"/>
      <c r="I10" s="300" t="s">
        <v>128</v>
      </c>
      <c r="J10" s="300"/>
      <c r="L10" s="76">
        <v>5</v>
      </c>
      <c r="M10" s="166" t="s">
        <v>108</v>
      </c>
      <c r="N10" s="167"/>
      <c r="O10" s="167"/>
      <c r="P10" s="167"/>
      <c r="Q10" s="172"/>
      <c r="T10" s="166"/>
      <c r="U10" s="167"/>
      <c r="V10" s="167"/>
      <c r="W10" s="175"/>
      <c r="AC10" s="113">
        <v>5</v>
      </c>
      <c r="AD10" s="114" t="str">
        <f t="shared" si="0"/>
        <v>E</v>
      </c>
      <c r="AE10" s="115">
        <f t="shared" si="1"/>
        <v>0</v>
      </c>
      <c r="AF10" s="115">
        <f t="shared" si="2"/>
        <v>0</v>
      </c>
      <c r="AG10" s="115" t="str">
        <f t="shared" si="3"/>
        <v/>
      </c>
      <c r="AH10" s="135" t="b">
        <v>0</v>
      </c>
      <c r="AI10" s="112"/>
      <c r="AJ10" s="71"/>
      <c r="AK10" s="183"/>
      <c r="AL10" s="188"/>
      <c r="AM10" s="183"/>
      <c r="AN10" s="189"/>
      <c r="AO10" s="189"/>
      <c r="AP10" s="189"/>
      <c r="AQ10" s="189"/>
      <c r="AR10" s="189"/>
      <c r="AS10" s="189"/>
      <c r="AT10" s="189"/>
      <c r="AU10" s="189"/>
      <c r="AV10" s="189"/>
      <c r="AW10" s="189"/>
      <c r="AX10" s="189"/>
      <c r="AY10" s="189"/>
      <c r="AZ10" s="189"/>
      <c r="BA10" s="183"/>
    </row>
    <row r="11" spans="1:53" ht="18.75" customHeight="1" x14ac:dyDescent="0.2">
      <c r="A11" s="70"/>
      <c r="B11" s="94" t="s">
        <v>78</v>
      </c>
      <c r="C11" s="68"/>
      <c r="D11" s="302" t="s">
        <v>130</v>
      </c>
      <c r="E11" s="302"/>
      <c r="F11" s="302"/>
      <c r="G11" s="302"/>
      <c r="H11" s="302"/>
      <c r="I11" s="302"/>
      <c r="J11" s="302"/>
      <c r="L11" s="76">
        <v>6</v>
      </c>
      <c r="M11" s="166" t="s">
        <v>109</v>
      </c>
      <c r="N11" s="167"/>
      <c r="O11" s="167"/>
      <c r="P11" s="167"/>
      <c r="Q11" s="172"/>
      <c r="T11" s="166"/>
      <c r="U11" s="167"/>
      <c r="V11" s="167"/>
      <c r="W11" s="175"/>
      <c r="AC11" s="113">
        <v>6</v>
      </c>
      <c r="AD11" s="114" t="str">
        <f t="shared" si="0"/>
        <v>F</v>
      </c>
      <c r="AE11" s="115">
        <f t="shared" si="1"/>
        <v>0</v>
      </c>
      <c r="AF11" s="115">
        <f t="shared" si="2"/>
        <v>0</v>
      </c>
      <c r="AG11" s="115" t="str">
        <f t="shared" si="3"/>
        <v/>
      </c>
      <c r="AH11" s="135" t="b">
        <v>0</v>
      </c>
      <c r="AI11" s="112"/>
      <c r="AJ11" s="71"/>
      <c r="AK11" s="185"/>
      <c r="AL11" s="183"/>
      <c r="AM11" s="183"/>
      <c r="AN11" s="183"/>
      <c r="AO11" s="183"/>
      <c r="AP11" s="183"/>
      <c r="AQ11" s="183"/>
      <c r="AR11" s="183"/>
      <c r="AS11" s="183"/>
      <c r="AT11" s="183"/>
      <c r="AU11" s="183"/>
      <c r="AV11" s="183"/>
      <c r="AW11" s="183"/>
      <c r="AX11" s="183"/>
      <c r="AY11" s="183"/>
      <c r="AZ11" s="183"/>
      <c r="BA11" s="183"/>
    </row>
    <row r="12" spans="1:53" ht="18.75" customHeight="1" x14ac:dyDescent="0.2">
      <c r="A12" s="81"/>
      <c r="B12" s="67" t="s">
        <v>66</v>
      </c>
      <c r="C12" s="72"/>
      <c r="D12" s="301" t="s">
        <v>131</v>
      </c>
      <c r="E12" s="301"/>
      <c r="F12" s="301"/>
      <c r="G12" s="301"/>
      <c r="H12" s="299" t="str">
        <f>IF(B14=1,"FEMININO",IF(B14=2,"MASCULINO",IF(B14=3,"MISTO","")))</f>
        <v>MASCULINO</v>
      </c>
      <c r="I12" s="299"/>
      <c r="J12" s="299"/>
      <c r="L12" s="76">
        <v>7</v>
      </c>
      <c r="M12" s="166" t="s">
        <v>110</v>
      </c>
      <c r="N12" s="167"/>
      <c r="O12" s="167"/>
      <c r="P12" s="167"/>
      <c r="Q12" s="172"/>
      <c r="T12" s="166"/>
      <c r="U12" s="167"/>
      <c r="V12" s="167"/>
      <c r="W12" s="175"/>
      <c r="AC12" s="113">
        <v>7</v>
      </c>
      <c r="AD12" s="114" t="str">
        <f t="shared" si="0"/>
        <v>G</v>
      </c>
      <c r="AE12" s="115">
        <f t="shared" si="1"/>
        <v>0</v>
      </c>
      <c r="AF12" s="115">
        <f t="shared" si="2"/>
        <v>0</v>
      </c>
      <c r="AG12" s="115" t="str">
        <f t="shared" si="3"/>
        <v/>
      </c>
      <c r="AH12" s="135" t="b">
        <v>0</v>
      </c>
      <c r="AI12" s="112"/>
      <c r="AJ12" s="71"/>
      <c r="AK12" s="185"/>
      <c r="AL12" s="188"/>
      <c r="AM12" s="188"/>
      <c r="AN12" s="188"/>
      <c r="AO12" s="188"/>
      <c r="AP12" s="188"/>
      <c r="AQ12" s="188"/>
      <c r="AR12" s="188"/>
      <c r="AS12" s="188"/>
      <c r="AT12" s="188"/>
      <c r="AU12" s="188"/>
      <c r="AV12" s="188"/>
      <c r="AW12" s="188"/>
      <c r="AX12" s="190"/>
      <c r="AY12" s="190"/>
      <c r="AZ12" s="190"/>
      <c r="BA12" s="183"/>
    </row>
    <row r="13" spans="1:53" ht="18.75" customHeight="1" x14ac:dyDescent="0.2">
      <c r="A13" s="81"/>
      <c r="B13" s="82" t="s">
        <v>69</v>
      </c>
      <c r="C13" s="65"/>
      <c r="D13" s="61"/>
      <c r="E13" s="79"/>
      <c r="G13" s="64"/>
      <c r="J13" s="66"/>
      <c r="L13" s="76">
        <v>8</v>
      </c>
      <c r="M13" s="166" t="s">
        <v>111</v>
      </c>
      <c r="N13" s="167"/>
      <c r="O13" s="167"/>
      <c r="P13" s="167"/>
      <c r="Q13" s="172"/>
      <c r="T13" s="166"/>
      <c r="U13" s="167"/>
      <c r="V13" s="167"/>
      <c r="W13" s="175"/>
      <c r="AC13" s="113">
        <v>8</v>
      </c>
      <c r="AD13" s="114" t="str">
        <f t="shared" si="0"/>
        <v>H</v>
      </c>
      <c r="AE13" s="115">
        <f t="shared" si="1"/>
        <v>0</v>
      </c>
      <c r="AF13" s="115">
        <f t="shared" si="2"/>
        <v>0</v>
      </c>
      <c r="AG13" s="115" t="str">
        <f t="shared" si="3"/>
        <v/>
      </c>
      <c r="AH13" s="135" t="b">
        <v>0</v>
      </c>
      <c r="AI13" s="112"/>
      <c r="AJ13" s="71"/>
      <c r="AK13" s="185"/>
      <c r="AL13" s="183"/>
      <c r="AM13" s="183"/>
      <c r="AN13" s="183"/>
      <c r="AO13" s="191"/>
      <c r="AP13" s="191"/>
      <c r="AQ13" s="191"/>
      <c r="AR13" s="191"/>
      <c r="AS13" s="191"/>
      <c r="AT13" s="191"/>
      <c r="AU13" s="191"/>
      <c r="AV13" s="183"/>
      <c r="AW13" s="183"/>
      <c r="AX13" s="192"/>
      <c r="AY13" s="192"/>
      <c r="AZ13" s="192"/>
      <c r="BA13" s="183"/>
    </row>
    <row r="14" spans="1:53" ht="18.75" customHeight="1" x14ac:dyDescent="0.2">
      <c r="A14" s="59"/>
      <c r="B14" s="63">
        <v>2</v>
      </c>
      <c r="C14" s="65"/>
      <c r="D14" s="61"/>
      <c r="E14" s="62"/>
      <c r="F14" s="86"/>
      <c r="G14" s="64"/>
      <c r="I14" s="65"/>
      <c r="J14" s="66"/>
      <c r="L14" s="76">
        <v>9</v>
      </c>
      <c r="M14" s="166" t="s">
        <v>112</v>
      </c>
      <c r="N14" s="167"/>
      <c r="O14" s="167"/>
      <c r="P14" s="167"/>
      <c r="Q14" s="172"/>
      <c r="T14" s="166"/>
      <c r="U14" s="167"/>
      <c r="V14" s="167"/>
      <c r="W14" s="175"/>
      <c r="AC14" s="113">
        <v>9</v>
      </c>
      <c r="AD14" s="114" t="str">
        <f t="shared" si="0"/>
        <v>I</v>
      </c>
      <c r="AE14" s="115">
        <f t="shared" si="1"/>
        <v>0</v>
      </c>
      <c r="AF14" s="115">
        <f t="shared" si="2"/>
        <v>0</v>
      </c>
      <c r="AG14" s="115" t="str">
        <f t="shared" si="3"/>
        <v/>
      </c>
      <c r="AH14" s="135" t="b">
        <v>0</v>
      </c>
      <c r="AI14" s="112"/>
      <c r="AJ14" s="71"/>
      <c r="AK14" s="185"/>
      <c r="AL14" s="183"/>
      <c r="AM14" s="183"/>
      <c r="AN14" s="183"/>
      <c r="AO14" s="191"/>
      <c r="AP14" s="191"/>
      <c r="AQ14" s="191"/>
      <c r="AR14" s="191"/>
      <c r="AS14" s="191"/>
      <c r="AT14" s="191"/>
      <c r="AU14" s="191"/>
      <c r="AV14" s="183"/>
      <c r="AW14" s="183"/>
      <c r="AX14" s="192"/>
      <c r="AY14" s="192"/>
      <c r="AZ14" s="192"/>
      <c r="BA14" s="183"/>
    </row>
    <row r="15" spans="1:53" ht="18.75" customHeight="1" thickBot="1" x14ac:dyDescent="0.25">
      <c r="A15" s="85"/>
      <c r="B15" s="85"/>
      <c r="C15" s="70"/>
      <c r="D15" s="80"/>
      <c r="E15" s="80"/>
      <c r="F15" s="80"/>
      <c r="G15" s="84"/>
      <c r="H15" s="80"/>
      <c r="I15" s="80"/>
      <c r="J15" s="80"/>
      <c r="L15" s="76">
        <v>10</v>
      </c>
      <c r="M15" s="166" t="s">
        <v>113</v>
      </c>
      <c r="N15" s="167"/>
      <c r="O15" s="167"/>
      <c r="P15" s="167"/>
      <c r="Q15" s="172"/>
      <c r="T15" s="168"/>
      <c r="U15" s="169"/>
      <c r="V15" s="169"/>
      <c r="W15" s="176"/>
      <c r="AC15" s="113">
        <v>10</v>
      </c>
      <c r="AD15" s="114" t="str">
        <f t="shared" si="0"/>
        <v>J</v>
      </c>
      <c r="AE15" s="115">
        <f t="shared" si="1"/>
        <v>0</v>
      </c>
      <c r="AF15" s="115">
        <f t="shared" si="2"/>
        <v>0</v>
      </c>
      <c r="AG15" s="115" t="str">
        <f t="shared" si="3"/>
        <v/>
      </c>
      <c r="AH15" s="135" t="b">
        <v>0</v>
      </c>
      <c r="AI15" s="112"/>
      <c r="AJ15" s="71"/>
      <c r="AK15" s="185"/>
      <c r="AL15" s="183"/>
      <c r="AM15" s="183"/>
      <c r="AN15" s="183"/>
      <c r="AO15" s="183"/>
      <c r="AP15" s="183"/>
      <c r="AQ15" s="183"/>
      <c r="AR15" s="183"/>
      <c r="AS15" s="183"/>
      <c r="AT15" s="183"/>
      <c r="AU15" s="183"/>
      <c r="AV15" s="183"/>
      <c r="AW15" s="183"/>
      <c r="AX15" s="192"/>
      <c r="AY15" s="192"/>
      <c r="AZ15" s="192"/>
      <c r="BA15" s="183"/>
    </row>
    <row r="16" spans="1:53" ht="18.75" customHeight="1" x14ac:dyDescent="0.2">
      <c r="A16" s="71"/>
      <c r="B16" s="71"/>
      <c r="C16" s="70"/>
      <c r="D16" s="70"/>
      <c r="E16" s="70"/>
      <c r="F16" s="70"/>
      <c r="G16" s="72"/>
      <c r="H16" s="70"/>
      <c r="I16" s="70"/>
      <c r="J16" s="70"/>
      <c r="L16" s="76">
        <v>11</v>
      </c>
      <c r="M16" s="166" t="s">
        <v>114</v>
      </c>
      <c r="N16" s="167"/>
      <c r="O16" s="167"/>
      <c r="P16" s="167"/>
      <c r="Q16" s="172"/>
      <c r="S16" s="162" t="str">
        <f>IF(M7="","",UPPER(M7))</f>
        <v>B</v>
      </c>
      <c r="T16" s="170"/>
      <c r="U16" s="171"/>
      <c r="V16" s="171"/>
      <c r="W16" s="174"/>
      <c r="AC16" s="113">
        <v>11</v>
      </c>
      <c r="AD16" s="114" t="str">
        <f t="shared" si="0"/>
        <v>K</v>
      </c>
      <c r="AE16" s="115">
        <f t="shared" si="1"/>
        <v>0</v>
      </c>
      <c r="AF16" s="115">
        <f t="shared" si="2"/>
        <v>0</v>
      </c>
      <c r="AG16" s="115" t="str">
        <f t="shared" si="3"/>
        <v/>
      </c>
      <c r="AH16" s="135" t="b">
        <v>0</v>
      </c>
      <c r="AI16" s="112"/>
      <c r="AJ16" s="71"/>
      <c r="AK16" s="185"/>
      <c r="AL16" s="183"/>
      <c r="AM16" s="183"/>
      <c r="AN16" s="183"/>
      <c r="AO16" s="183"/>
      <c r="AP16" s="183"/>
      <c r="AQ16" s="183"/>
      <c r="AR16" s="183"/>
      <c r="AS16" s="183"/>
      <c r="AT16" s="183"/>
      <c r="AU16" s="183"/>
      <c r="AV16" s="183"/>
      <c r="AW16" s="183"/>
      <c r="AX16" s="192"/>
      <c r="AY16" s="192"/>
      <c r="AZ16" s="192"/>
      <c r="BA16" s="183"/>
    </row>
    <row r="17" spans="1:53" ht="18.75" customHeight="1" x14ac:dyDescent="0.2">
      <c r="A17" s="71"/>
      <c r="B17" s="67" t="s">
        <v>95</v>
      </c>
      <c r="C17" s="70"/>
      <c r="D17" s="70"/>
      <c r="E17" s="70"/>
      <c r="F17" s="70"/>
      <c r="G17" s="72"/>
      <c r="H17" s="70"/>
      <c r="I17" s="70"/>
      <c r="J17" s="70"/>
      <c r="L17" s="76">
        <v>12</v>
      </c>
      <c r="M17" s="166" t="s">
        <v>115</v>
      </c>
      <c r="N17" s="167"/>
      <c r="O17" s="167"/>
      <c r="P17" s="167"/>
      <c r="Q17" s="172"/>
      <c r="T17" s="166"/>
      <c r="U17" s="167"/>
      <c r="V17" s="167"/>
      <c r="W17" s="175"/>
      <c r="AC17" s="113">
        <v>12</v>
      </c>
      <c r="AD17" s="114" t="str">
        <f t="shared" si="0"/>
        <v>L</v>
      </c>
      <c r="AE17" s="115">
        <f t="shared" si="1"/>
        <v>0</v>
      </c>
      <c r="AF17" s="115">
        <f t="shared" si="2"/>
        <v>0</v>
      </c>
      <c r="AG17" s="115" t="str">
        <f t="shared" si="3"/>
        <v/>
      </c>
      <c r="AH17" s="135" t="b">
        <v>0</v>
      </c>
      <c r="AI17" s="112"/>
      <c r="AJ17" s="71"/>
      <c r="AK17" s="185"/>
      <c r="AL17" s="183"/>
      <c r="AM17" s="183"/>
      <c r="AN17" s="183"/>
      <c r="AO17" s="183"/>
      <c r="AP17" s="183"/>
      <c r="AQ17" s="183"/>
      <c r="AR17" s="183"/>
      <c r="AS17" s="183"/>
      <c r="AT17" s="183"/>
      <c r="AU17" s="183"/>
      <c r="AV17" s="183"/>
      <c r="AW17" s="183"/>
      <c r="AX17" s="192"/>
      <c r="AY17" s="192"/>
      <c r="AZ17" s="192"/>
      <c r="BA17" s="183"/>
    </row>
    <row r="18" spans="1:53" ht="18.75" customHeight="1" x14ac:dyDescent="0.2">
      <c r="B18" s="87" t="s">
        <v>80</v>
      </c>
      <c r="D18" s="163">
        <v>0.41666666666666669</v>
      </c>
      <c r="E18" s="90" t="s">
        <v>74</v>
      </c>
      <c r="L18" s="76">
        <v>13</v>
      </c>
      <c r="M18" s="166" t="s">
        <v>116</v>
      </c>
      <c r="N18" s="167"/>
      <c r="O18" s="167"/>
      <c r="P18" s="167"/>
      <c r="Q18" s="172"/>
      <c r="T18" s="166"/>
      <c r="U18" s="167"/>
      <c r="V18" s="167"/>
      <c r="W18" s="175"/>
      <c r="AC18" s="113">
        <v>13</v>
      </c>
      <c r="AD18" s="114" t="str">
        <f t="shared" si="0"/>
        <v>M</v>
      </c>
      <c r="AE18" s="115">
        <f t="shared" si="1"/>
        <v>0</v>
      </c>
      <c r="AF18" s="115">
        <f t="shared" si="2"/>
        <v>0</v>
      </c>
      <c r="AG18" s="115" t="str">
        <f t="shared" si="3"/>
        <v/>
      </c>
      <c r="AH18" s="135" t="b">
        <v>0</v>
      </c>
      <c r="AI18" s="112"/>
      <c r="AJ18" s="71"/>
      <c r="AK18" s="185"/>
      <c r="AL18" s="183"/>
      <c r="AM18" s="183"/>
      <c r="AN18" s="183"/>
      <c r="AO18" s="183"/>
      <c r="AP18" s="183"/>
      <c r="AQ18" s="183"/>
      <c r="AR18" s="183"/>
      <c r="AS18" s="183"/>
      <c r="AT18" s="183"/>
      <c r="AU18" s="183"/>
      <c r="AV18" s="183"/>
      <c r="AW18" s="183"/>
      <c r="AX18" s="192"/>
      <c r="AY18" s="192"/>
      <c r="AZ18" s="192"/>
      <c r="BA18" s="183"/>
    </row>
    <row r="19" spans="1:53" ht="18.75" customHeight="1" x14ac:dyDescent="0.2">
      <c r="A19" s="71"/>
      <c r="B19" s="88" t="s">
        <v>73</v>
      </c>
      <c r="C19" s="70"/>
      <c r="D19" s="177">
        <v>2.7777777777777779E-3</v>
      </c>
      <c r="E19" s="91" t="s">
        <v>75</v>
      </c>
      <c r="F19" s="70"/>
      <c r="G19" s="72"/>
      <c r="H19" s="70"/>
      <c r="I19" s="70"/>
      <c r="J19" s="70"/>
      <c r="L19" s="76">
        <v>14</v>
      </c>
      <c r="M19" s="166" t="s">
        <v>117</v>
      </c>
      <c r="N19" s="167"/>
      <c r="O19" s="167"/>
      <c r="P19" s="167"/>
      <c r="Q19" s="172"/>
      <c r="T19" s="166"/>
      <c r="U19" s="167"/>
      <c r="V19" s="167"/>
      <c r="W19" s="175"/>
      <c r="AC19" s="113">
        <v>14</v>
      </c>
      <c r="AD19" s="114" t="str">
        <f t="shared" si="0"/>
        <v>N</v>
      </c>
      <c r="AE19" s="115">
        <f t="shared" si="1"/>
        <v>0</v>
      </c>
      <c r="AF19" s="115">
        <f t="shared" si="2"/>
        <v>0</v>
      </c>
      <c r="AG19" s="115" t="str">
        <f t="shared" si="3"/>
        <v/>
      </c>
      <c r="AH19" s="135" t="b">
        <v>0</v>
      </c>
      <c r="AI19" s="112"/>
      <c r="AJ19" s="71"/>
      <c r="AK19" s="185"/>
      <c r="AL19" s="183"/>
      <c r="AM19" s="183"/>
      <c r="AN19" s="183"/>
      <c r="AO19" s="183"/>
      <c r="AP19" s="183"/>
      <c r="AQ19" s="183"/>
      <c r="AR19" s="183"/>
      <c r="AS19" s="183"/>
      <c r="AT19" s="183"/>
      <c r="AU19" s="183"/>
      <c r="AV19" s="183"/>
      <c r="AW19" s="183"/>
      <c r="AX19" s="192"/>
      <c r="AY19" s="192"/>
      <c r="AZ19" s="192"/>
      <c r="BA19" s="183"/>
    </row>
    <row r="20" spans="1:53" ht="18.75" customHeight="1" x14ac:dyDescent="0.2">
      <c r="A20" s="71"/>
      <c r="B20" s="88" t="s">
        <v>81</v>
      </c>
      <c r="C20" s="70"/>
      <c r="D20" s="177">
        <v>6.9444444444444447E-4</v>
      </c>
      <c r="E20" s="91" t="s">
        <v>75</v>
      </c>
      <c r="F20" s="70"/>
      <c r="G20" s="72"/>
      <c r="H20" s="70"/>
      <c r="I20" s="70"/>
      <c r="J20" s="70"/>
      <c r="L20" s="76">
        <v>15</v>
      </c>
      <c r="M20" s="166" t="s">
        <v>118</v>
      </c>
      <c r="N20" s="167"/>
      <c r="O20" s="167"/>
      <c r="P20" s="167"/>
      <c r="Q20" s="172"/>
      <c r="T20" s="166"/>
      <c r="U20" s="167"/>
      <c r="V20" s="167"/>
      <c r="W20" s="175"/>
      <c r="AC20" s="113">
        <v>15</v>
      </c>
      <c r="AD20" s="114" t="str">
        <f t="shared" si="0"/>
        <v>O</v>
      </c>
      <c r="AE20" s="115">
        <f t="shared" si="1"/>
        <v>0</v>
      </c>
      <c r="AF20" s="115">
        <f t="shared" si="2"/>
        <v>0</v>
      </c>
      <c r="AG20" s="115" t="str">
        <f t="shared" si="3"/>
        <v/>
      </c>
      <c r="AH20" s="135" t="b">
        <v>0</v>
      </c>
      <c r="AI20" s="112"/>
      <c r="AJ20" s="71"/>
      <c r="AK20" s="185"/>
      <c r="AL20" s="183"/>
      <c r="AM20" s="183"/>
      <c r="AN20" s="183"/>
      <c r="AO20" s="183"/>
      <c r="AP20" s="183"/>
      <c r="AQ20" s="183"/>
      <c r="AR20" s="183"/>
      <c r="AS20" s="183"/>
      <c r="AT20" s="183"/>
      <c r="AU20" s="183"/>
      <c r="AV20" s="183"/>
      <c r="AW20" s="183"/>
      <c r="AX20" s="192"/>
      <c r="AY20" s="192"/>
      <c r="AZ20" s="192"/>
      <c r="BA20" s="183"/>
    </row>
    <row r="21" spans="1:53" ht="18.75" customHeight="1" x14ac:dyDescent="0.2">
      <c r="A21" s="85"/>
      <c r="B21" s="89" t="s">
        <v>89</v>
      </c>
      <c r="D21" s="178">
        <v>1</v>
      </c>
      <c r="E21" s="84" t="s">
        <v>132</v>
      </c>
      <c r="F21" s="80"/>
      <c r="G21" s="84"/>
      <c r="H21" s="80"/>
      <c r="I21" s="80"/>
      <c r="J21" s="80"/>
      <c r="L21" s="76">
        <v>16</v>
      </c>
      <c r="M21" s="166" t="s">
        <v>119</v>
      </c>
      <c r="N21" s="167"/>
      <c r="O21" s="167"/>
      <c r="P21" s="167"/>
      <c r="Q21" s="172"/>
      <c r="T21" s="166"/>
      <c r="U21" s="167"/>
      <c r="V21" s="167"/>
      <c r="W21" s="175"/>
      <c r="AC21" s="113">
        <v>16</v>
      </c>
      <c r="AD21" s="114" t="str">
        <f t="shared" si="0"/>
        <v>P</v>
      </c>
      <c r="AE21" s="115">
        <f t="shared" si="1"/>
        <v>0</v>
      </c>
      <c r="AF21" s="115">
        <f t="shared" si="2"/>
        <v>0</v>
      </c>
      <c r="AG21" s="115" t="str">
        <f t="shared" si="3"/>
        <v/>
      </c>
      <c r="AH21" s="135" t="b">
        <v>0</v>
      </c>
      <c r="AI21" s="112"/>
      <c r="AJ21" s="71"/>
      <c r="AK21" s="185"/>
      <c r="AL21" s="192"/>
      <c r="AM21" s="183"/>
      <c r="AN21" s="183"/>
      <c r="AO21" s="183"/>
      <c r="AP21" s="183"/>
      <c r="AQ21" s="183"/>
      <c r="AR21" s="183"/>
      <c r="AS21" s="183"/>
      <c r="AT21" s="183"/>
      <c r="AU21" s="183"/>
      <c r="AV21" s="183"/>
      <c r="AW21" s="183"/>
      <c r="AX21" s="192"/>
      <c r="AY21" s="192"/>
      <c r="AZ21" s="192"/>
      <c r="BA21" s="183"/>
    </row>
    <row r="22" spans="1:53" ht="18.75" customHeight="1" x14ac:dyDescent="0.2">
      <c r="F22" s="97"/>
      <c r="G22" s="97"/>
      <c r="H22" s="97"/>
      <c r="I22" s="97"/>
      <c r="J22" s="97"/>
      <c r="L22" s="76">
        <v>17</v>
      </c>
      <c r="M22" s="166" t="s">
        <v>120</v>
      </c>
      <c r="N22" s="167"/>
      <c r="O22" s="167"/>
      <c r="P22" s="167"/>
      <c r="Q22" s="172"/>
      <c r="T22" s="166"/>
      <c r="U22" s="167"/>
      <c r="V22" s="167"/>
      <c r="W22" s="175"/>
      <c r="AC22" s="113">
        <v>17</v>
      </c>
      <c r="AD22" s="114" t="str">
        <f t="shared" si="0"/>
        <v>Q</v>
      </c>
      <c r="AE22" s="115">
        <f t="shared" si="1"/>
        <v>0</v>
      </c>
      <c r="AF22" s="115">
        <f t="shared" si="2"/>
        <v>0</v>
      </c>
      <c r="AG22" s="115" t="str">
        <f t="shared" si="3"/>
        <v/>
      </c>
      <c r="AH22" s="135" t="b">
        <v>0</v>
      </c>
      <c r="AI22" s="112"/>
      <c r="AJ22" s="71"/>
      <c r="AK22" s="185"/>
      <c r="AL22" s="183"/>
      <c r="AM22" s="183"/>
      <c r="AN22" s="183"/>
      <c r="AO22" s="183"/>
      <c r="AP22" s="183"/>
      <c r="AQ22" s="183"/>
      <c r="AR22" s="183"/>
      <c r="AS22" s="183"/>
      <c r="AT22" s="183"/>
      <c r="AU22" s="183"/>
      <c r="AV22" s="183"/>
      <c r="AW22" s="183"/>
      <c r="AX22" s="192"/>
      <c r="AY22" s="192"/>
      <c r="AZ22" s="192"/>
      <c r="BA22" s="183"/>
    </row>
    <row r="23" spans="1:53" ht="18.75" customHeight="1" x14ac:dyDescent="0.2">
      <c r="B23" s="60" t="s">
        <v>76</v>
      </c>
      <c r="L23" s="76">
        <v>18</v>
      </c>
      <c r="M23" s="166" t="s">
        <v>121</v>
      </c>
      <c r="N23" s="167"/>
      <c r="O23" s="167"/>
      <c r="P23" s="167"/>
      <c r="Q23" s="172"/>
      <c r="T23" s="166"/>
      <c r="U23" s="167"/>
      <c r="V23" s="167"/>
      <c r="W23" s="175"/>
      <c r="AC23" s="113">
        <v>18</v>
      </c>
      <c r="AD23" s="114" t="str">
        <f t="shared" si="0"/>
        <v>R</v>
      </c>
      <c r="AE23" s="115">
        <f t="shared" si="1"/>
        <v>0</v>
      </c>
      <c r="AF23" s="115">
        <f t="shared" si="2"/>
        <v>0</v>
      </c>
      <c r="AG23" s="115" t="str">
        <f t="shared" si="3"/>
        <v/>
      </c>
      <c r="AH23" s="135" t="b">
        <v>0</v>
      </c>
      <c r="AI23" s="112"/>
      <c r="AJ23" s="71"/>
      <c r="AK23" s="185"/>
      <c r="AL23" s="186"/>
      <c r="AM23" s="186"/>
      <c r="AN23" s="186"/>
      <c r="AO23" s="186"/>
      <c r="AP23" s="186"/>
      <c r="AQ23" s="186"/>
      <c r="AR23" s="186"/>
      <c r="AS23" s="186"/>
      <c r="AT23" s="183"/>
      <c r="AU23" s="183"/>
      <c r="AV23" s="183"/>
      <c r="AW23" s="183"/>
      <c r="AX23" s="183"/>
      <c r="AY23" s="183"/>
      <c r="AZ23" s="183"/>
      <c r="BA23" s="183"/>
    </row>
    <row r="24" spans="1:53" ht="18.75" customHeight="1" x14ac:dyDescent="0.2">
      <c r="A24" s="71"/>
      <c r="B24" s="93" t="s">
        <v>77</v>
      </c>
      <c r="D24" s="97"/>
      <c r="E24" s="97"/>
      <c r="L24" s="76">
        <v>19</v>
      </c>
      <c r="M24" s="166" t="s">
        <v>122</v>
      </c>
      <c r="N24" s="167"/>
      <c r="O24" s="167"/>
      <c r="P24" s="167"/>
      <c r="Q24" s="172"/>
      <c r="T24" s="166"/>
      <c r="U24" s="167"/>
      <c r="V24" s="167"/>
      <c r="W24" s="175"/>
      <c r="AC24" s="113">
        <v>19</v>
      </c>
      <c r="AD24" s="114" t="str">
        <f t="shared" si="0"/>
        <v>S</v>
      </c>
      <c r="AE24" s="115">
        <f t="shared" si="1"/>
        <v>0</v>
      </c>
      <c r="AF24" s="115">
        <f t="shared" si="2"/>
        <v>0</v>
      </c>
      <c r="AG24" s="115" t="str">
        <f t="shared" si="3"/>
        <v/>
      </c>
      <c r="AH24" s="135" t="b">
        <v>0</v>
      </c>
      <c r="AI24" s="112"/>
      <c r="AJ24" s="71"/>
      <c r="AK24" s="185"/>
      <c r="AL24" s="183"/>
      <c r="AM24" s="183"/>
      <c r="AN24" s="183"/>
      <c r="AO24" s="183"/>
      <c r="AP24" s="183"/>
      <c r="AQ24" s="183"/>
      <c r="AR24" s="183"/>
      <c r="AS24" s="183"/>
      <c r="AT24" s="183"/>
      <c r="AU24" s="183"/>
      <c r="AV24" s="183"/>
      <c r="AW24" s="183"/>
      <c r="AX24" s="192"/>
      <c r="AY24" s="192"/>
      <c r="AZ24" s="192"/>
      <c r="BA24" s="183"/>
    </row>
    <row r="25" spans="1:53" ht="18.75" customHeight="1" thickBot="1" x14ac:dyDescent="0.25">
      <c r="A25" s="85"/>
      <c r="B25" s="89" t="s">
        <v>83</v>
      </c>
      <c r="D25" s="164">
        <v>0.35416666666666669</v>
      </c>
      <c r="E25" s="92" t="s">
        <v>74</v>
      </c>
      <c r="G25" s="200"/>
      <c r="H25" s="200"/>
      <c r="L25" s="76">
        <v>20</v>
      </c>
      <c r="M25" s="166" t="s">
        <v>123</v>
      </c>
      <c r="N25" s="167"/>
      <c r="O25" s="167"/>
      <c r="P25" s="167"/>
      <c r="Q25" s="172"/>
      <c r="T25" s="168"/>
      <c r="U25" s="169"/>
      <c r="V25" s="169"/>
      <c r="W25" s="176"/>
      <c r="AC25" s="113">
        <v>20</v>
      </c>
      <c r="AD25" s="114" t="str">
        <f t="shared" si="0"/>
        <v>T</v>
      </c>
      <c r="AE25" s="115">
        <f t="shared" si="1"/>
        <v>0</v>
      </c>
      <c r="AF25" s="115">
        <f t="shared" si="2"/>
        <v>0</v>
      </c>
      <c r="AG25" s="115" t="str">
        <f t="shared" si="3"/>
        <v/>
      </c>
      <c r="AH25" s="135" t="b">
        <v>0</v>
      </c>
      <c r="AI25" s="112"/>
      <c r="AJ25" s="71"/>
      <c r="AK25" s="185"/>
      <c r="AL25" s="186"/>
      <c r="AM25" s="186"/>
      <c r="AN25" s="186"/>
      <c r="AO25" s="186"/>
      <c r="AP25" s="186"/>
      <c r="AQ25" s="186"/>
      <c r="AR25" s="186"/>
      <c r="AS25" s="186"/>
      <c r="AT25" s="183"/>
      <c r="AU25" s="183"/>
      <c r="AV25" s="183"/>
      <c r="AW25" s="183"/>
      <c r="AX25" s="183"/>
      <c r="AY25" s="183"/>
      <c r="AZ25" s="183"/>
      <c r="BA25" s="183"/>
    </row>
    <row r="26" spans="1:53" ht="18.75" customHeight="1" x14ac:dyDescent="0.2">
      <c r="B26" s="87" t="s">
        <v>82</v>
      </c>
      <c r="D26" s="165">
        <v>0.5625</v>
      </c>
      <c r="E26" s="90" t="s">
        <v>74</v>
      </c>
      <c r="G26" s="200"/>
      <c r="H26" s="200"/>
      <c r="L26" s="76">
        <v>21</v>
      </c>
      <c r="M26" s="166" t="s">
        <v>124</v>
      </c>
      <c r="N26" s="167"/>
      <c r="O26" s="167"/>
      <c r="P26" s="167"/>
      <c r="Q26" s="172"/>
      <c r="S26" s="162" t="str">
        <f>IF(M8="","",UPPER(M8))</f>
        <v>C</v>
      </c>
      <c r="T26" s="170"/>
      <c r="U26" s="171"/>
      <c r="V26" s="171"/>
      <c r="W26" s="174"/>
      <c r="AC26" s="113">
        <v>21</v>
      </c>
      <c r="AD26" s="114" t="str">
        <f t="shared" si="0"/>
        <v>U</v>
      </c>
      <c r="AE26" s="115">
        <f t="shared" si="1"/>
        <v>0</v>
      </c>
      <c r="AF26" s="115">
        <f t="shared" si="2"/>
        <v>0</v>
      </c>
      <c r="AG26" s="115" t="str">
        <f t="shared" si="3"/>
        <v/>
      </c>
      <c r="AH26" s="135" t="b">
        <v>0</v>
      </c>
      <c r="AI26" s="112"/>
      <c r="AJ26" s="71"/>
      <c r="AK26" s="185"/>
      <c r="AL26" s="183"/>
      <c r="AM26" s="183"/>
      <c r="AN26" s="183"/>
      <c r="AO26" s="183"/>
      <c r="AP26" s="183"/>
      <c r="AQ26" s="183"/>
      <c r="AR26" s="183"/>
      <c r="AS26" s="183"/>
      <c r="AT26" s="183"/>
      <c r="AU26" s="183"/>
      <c r="AV26" s="183"/>
      <c r="AW26" s="183"/>
      <c r="AX26" s="192"/>
      <c r="AY26" s="192"/>
      <c r="AZ26" s="192"/>
      <c r="BA26" s="183"/>
    </row>
    <row r="27" spans="1:53" ht="18.75" customHeight="1" x14ac:dyDescent="0.2">
      <c r="G27" s="201"/>
      <c r="H27" s="201"/>
      <c r="L27" s="76">
        <v>22</v>
      </c>
      <c r="M27" s="166" t="s">
        <v>125</v>
      </c>
      <c r="N27" s="167"/>
      <c r="O27" s="167"/>
      <c r="P27" s="167"/>
      <c r="Q27" s="172"/>
      <c r="T27" s="166"/>
      <c r="U27" s="167"/>
      <c r="V27" s="167"/>
      <c r="W27" s="175"/>
      <c r="AC27" s="113">
        <v>22</v>
      </c>
      <c r="AD27" s="114" t="str">
        <f t="shared" si="0"/>
        <v>V</v>
      </c>
      <c r="AE27" s="115">
        <f t="shared" si="1"/>
        <v>0</v>
      </c>
      <c r="AF27" s="115">
        <f t="shared" si="2"/>
        <v>0</v>
      </c>
      <c r="AG27" s="115" t="str">
        <f t="shared" si="3"/>
        <v/>
      </c>
      <c r="AH27" s="135" t="b">
        <v>0</v>
      </c>
      <c r="AI27" s="112"/>
      <c r="AJ27" s="71"/>
      <c r="AK27" s="185"/>
      <c r="AL27" s="183"/>
      <c r="AM27" s="183"/>
      <c r="AN27" s="183"/>
      <c r="AO27" s="183"/>
      <c r="AP27" s="183"/>
      <c r="AQ27" s="183"/>
      <c r="AR27" s="183"/>
      <c r="AS27" s="183"/>
      <c r="AT27" s="183"/>
      <c r="AU27" s="183"/>
      <c r="AV27" s="183"/>
      <c r="AW27" s="183"/>
      <c r="AX27" s="192"/>
      <c r="AY27" s="192"/>
      <c r="AZ27" s="192"/>
      <c r="BA27" s="183"/>
    </row>
    <row r="28" spans="1:53" ht="18.75" customHeight="1" x14ac:dyDescent="0.2">
      <c r="G28" s="201"/>
      <c r="H28" s="201"/>
      <c r="L28" s="76">
        <v>23</v>
      </c>
      <c r="M28" s="166" t="s">
        <v>126</v>
      </c>
      <c r="N28" s="167"/>
      <c r="O28" s="167"/>
      <c r="P28" s="167"/>
      <c r="Q28" s="172"/>
      <c r="T28" s="166"/>
      <c r="U28" s="167"/>
      <c r="V28" s="167"/>
      <c r="W28" s="175"/>
      <c r="AC28" s="113">
        <v>23</v>
      </c>
      <c r="AD28" s="114" t="str">
        <f t="shared" si="0"/>
        <v>W</v>
      </c>
      <c r="AE28" s="115">
        <f t="shared" si="1"/>
        <v>0</v>
      </c>
      <c r="AF28" s="115">
        <f t="shared" si="2"/>
        <v>0</v>
      </c>
      <c r="AG28" s="115" t="str">
        <f t="shared" si="3"/>
        <v/>
      </c>
      <c r="AH28" s="135" t="b">
        <v>0</v>
      </c>
      <c r="AI28" s="112"/>
      <c r="AJ28" s="71"/>
      <c r="AK28" s="185"/>
      <c r="AL28" s="183"/>
      <c r="AM28" s="183"/>
      <c r="AN28" s="183"/>
      <c r="AO28" s="183"/>
      <c r="AP28" s="183"/>
      <c r="AQ28" s="183"/>
      <c r="AR28" s="183"/>
      <c r="AS28" s="183"/>
      <c r="AT28" s="183"/>
      <c r="AU28" s="183"/>
      <c r="AV28" s="183"/>
      <c r="AW28" s="183"/>
      <c r="AX28" s="192"/>
      <c r="AY28" s="192"/>
      <c r="AZ28" s="192"/>
      <c r="BA28" s="183"/>
    </row>
    <row r="29" spans="1:53" ht="18.75" customHeight="1" thickBot="1" x14ac:dyDescent="0.25">
      <c r="G29" s="201"/>
      <c r="H29" s="201"/>
      <c r="L29" s="76">
        <v>24</v>
      </c>
      <c r="M29" s="168" t="s">
        <v>127</v>
      </c>
      <c r="N29" s="169"/>
      <c r="O29" s="169"/>
      <c r="P29" s="169"/>
      <c r="Q29" s="173"/>
      <c r="T29" s="166"/>
      <c r="U29" s="167"/>
      <c r="V29" s="167"/>
      <c r="W29" s="175"/>
      <c r="AC29" s="116">
        <v>24</v>
      </c>
      <c r="AD29" s="117" t="str">
        <f t="shared" si="0"/>
        <v>X</v>
      </c>
      <c r="AE29" s="118">
        <f t="shared" si="1"/>
        <v>0</v>
      </c>
      <c r="AF29" s="118">
        <f t="shared" si="2"/>
        <v>0</v>
      </c>
      <c r="AG29" s="118" t="str">
        <f t="shared" si="3"/>
        <v/>
      </c>
      <c r="AH29" s="136" t="b">
        <v>0</v>
      </c>
      <c r="AI29" s="112"/>
      <c r="AJ29" s="71"/>
      <c r="AK29" s="185"/>
      <c r="AL29" s="183"/>
      <c r="AM29" s="183"/>
      <c r="AN29" s="183"/>
      <c r="AO29" s="183"/>
      <c r="AP29" s="183"/>
      <c r="AQ29" s="183"/>
      <c r="AR29" s="183"/>
      <c r="AS29" s="183"/>
      <c r="AT29" s="183"/>
      <c r="AU29" s="183"/>
      <c r="AV29" s="183"/>
      <c r="AW29" s="183"/>
      <c r="AX29" s="192"/>
      <c r="AY29" s="192"/>
      <c r="AZ29" s="192"/>
      <c r="BA29" s="183"/>
    </row>
    <row r="30" spans="1:53" ht="18.75" customHeight="1" thickBot="1" x14ac:dyDescent="0.25">
      <c r="G30" s="202"/>
      <c r="H30" s="202"/>
      <c r="I30" s="143"/>
      <c r="T30" s="166"/>
      <c r="U30" s="167"/>
      <c r="V30" s="167"/>
      <c r="W30" s="175"/>
      <c r="AC30" s="112"/>
      <c r="AD30" s="112"/>
      <c r="AE30" s="112" t="str">
        <f t="shared" si="1"/>
        <v/>
      </c>
      <c r="AF30" s="112" t="str">
        <f t="shared" si="2"/>
        <v/>
      </c>
      <c r="AG30" s="112" t="str">
        <f t="shared" si="3"/>
        <v/>
      </c>
      <c r="AH30" s="112"/>
      <c r="AI30" s="112"/>
      <c r="AJ30" s="71"/>
      <c r="AK30" s="185"/>
      <c r="AL30" s="183"/>
      <c r="AM30" s="183"/>
      <c r="AN30" s="183"/>
      <c r="AO30" s="183"/>
      <c r="AP30" s="183"/>
      <c r="AQ30" s="183"/>
      <c r="AR30" s="183"/>
      <c r="AS30" s="183"/>
      <c r="AT30" s="183"/>
      <c r="AU30" s="183"/>
      <c r="AV30" s="183"/>
      <c r="AW30" s="183"/>
      <c r="AX30" s="192"/>
      <c r="AY30" s="192"/>
      <c r="AZ30" s="192"/>
      <c r="BA30" s="183"/>
    </row>
    <row r="31" spans="1:53" ht="18.75" customHeight="1" x14ac:dyDescent="0.2">
      <c r="G31" s="202"/>
      <c r="H31" s="202"/>
      <c r="T31" s="166"/>
      <c r="U31" s="167"/>
      <c r="V31" s="167"/>
      <c r="W31" s="175"/>
      <c r="AC31" s="112"/>
      <c r="AD31" s="112"/>
      <c r="AE31" s="112"/>
      <c r="AF31" s="119" t="s">
        <v>88</v>
      </c>
      <c r="AG31" s="120"/>
      <c r="AH31" s="112"/>
      <c r="AI31" s="112"/>
      <c r="AJ31" s="71"/>
      <c r="AK31" s="185"/>
      <c r="AL31" s="183"/>
      <c r="AM31" s="183"/>
      <c r="AN31" s="183"/>
      <c r="AO31" s="183"/>
      <c r="AP31" s="183"/>
      <c r="AQ31" s="183"/>
      <c r="AR31" s="183"/>
      <c r="AS31" s="183"/>
      <c r="AT31" s="183"/>
      <c r="AU31" s="183"/>
      <c r="AV31" s="183"/>
      <c r="AW31" s="183"/>
      <c r="AX31" s="192"/>
      <c r="AY31" s="192"/>
      <c r="AZ31" s="192"/>
      <c r="BA31" s="183"/>
    </row>
    <row r="32" spans="1:53" ht="18.75" customHeight="1" x14ac:dyDescent="0.2">
      <c r="T32" s="166"/>
      <c r="U32" s="167"/>
      <c r="V32" s="167"/>
      <c r="W32" s="175"/>
      <c r="AC32" s="112"/>
      <c r="AD32" s="112"/>
      <c r="AE32" s="112"/>
      <c r="AF32" s="121">
        <v>1</v>
      </c>
      <c r="AG32" s="122"/>
      <c r="AH32" s="112"/>
      <c r="AI32" s="112"/>
      <c r="AJ32" s="71"/>
      <c r="AK32" s="185"/>
      <c r="AL32" s="183"/>
      <c r="AM32" s="183"/>
      <c r="AN32" s="183"/>
      <c r="AO32" s="183"/>
      <c r="AP32" s="183"/>
      <c r="AQ32" s="183"/>
      <c r="AR32" s="183"/>
      <c r="AS32" s="183"/>
      <c r="AT32" s="183"/>
      <c r="AU32" s="183"/>
      <c r="AV32" s="183"/>
      <c r="AW32" s="183"/>
      <c r="AX32" s="192"/>
      <c r="AY32" s="192"/>
      <c r="AZ32" s="192"/>
      <c r="BA32" s="183"/>
    </row>
    <row r="33" spans="2:53" ht="18.75" customHeight="1" x14ac:dyDescent="0.2">
      <c r="T33" s="166"/>
      <c r="U33" s="167"/>
      <c r="V33" s="167"/>
      <c r="W33" s="175"/>
      <c r="AC33" s="112"/>
      <c r="AD33" s="112"/>
      <c r="AE33" s="112"/>
      <c r="AF33" s="121">
        <v>2</v>
      </c>
      <c r="AG33" s="122"/>
      <c r="AH33" s="112"/>
      <c r="AI33" s="112"/>
      <c r="AJ33" s="71"/>
      <c r="AK33" s="185"/>
      <c r="AL33" s="183"/>
      <c r="AM33" s="183"/>
      <c r="AN33" s="183"/>
      <c r="AO33" s="183"/>
      <c r="AP33" s="183"/>
      <c r="AQ33" s="183"/>
      <c r="AR33" s="183"/>
      <c r="AS33" s="183"/>
      <c r="AT33" s="183"/>
      <c r="AU33" s="183"/>
      <c r="AV33" s="183"/>
      <c r="AW33" s="183"/>
      <c r="AX33" s="192"/>
      <c r="AY33" s="192"/>
      <c r="AZ33" s="192"/>
      <c r="BA33" s="183"/>
    </row>
    <row r="34" spans="2:53" ht="18.75" customHeight="1" x14ac:dyDescent="0.2">
      <c r="T34" s="166"/>
      <c r="U34" s="167"/>
      <c r="V34" s="167"/>
      <c r="W34" s="175"/>
      <c r="AC34" s="112"/>
      <c r="AD34" s="112"/>
      <c r="AE34" s="112"/>
      <c r="AF34" s="121">
        <v>3</v>
      </c>
      <c r="AG34" s="122"/>
      <c r="AH34" s="112"/>
      <c r="AI34" s="112"/>
      <c r="AJ34" s="71"/>
      <c r="AK34" s="185"/>
      <c r="AL34" s="183"/>
      <c r="AM34" s="183"/>
      <c r="AN34" s="183"/>
      <c r="AO34" s="183"/>
      <c r="AP34" s="183"/>
      <c r="AQ34" s="183"/>
      <c r="AR34" s="183"/>
      <c r="AS34" s="183"/>
      <c r="AT34" s="183"/>
      <c r="AU34" s="183"/>
      <c r="AV34" s="183"/>
      <c r="AW34" s="183"/>
      <c r="AX34" s="192"/>
      <c r="AY34" s="192"/>
      <c r="AZ34" s="192"/>
      <c r="BA34" s="183"/>
    </row>
    <row r="35" spans="2:53" ht="18.75" customHeight="1" thickBot="1" x14ac:dyDescent="0.25">
      <c r="T35" s="168"/>
      <c r="U35" s="169"/>
      <c r="V35" s="169"/>
      <c r="W35" s="176"/>
      <c r="AC35" s="123" t="s">
        <v>84</v>
      </c>
      <c r="AD35" s="124">
        <f>D18</f>
        <v>0.41666666666666669</v>
      </c>
      <c r="AE35" s="125"/>
      <c r="AF35" s="126"/>
      <c r="AG35" s="120"/>
      <c r="AH35" s="125"/>
      <c r="AI35" s="125"/>
      <c r="AJ35" s="71"/>
      <c r="AK35" s="185"/>
      <c r="AL35" s="183"/>
      <c r="AM35" s="183"/>
      <c r="AN35" s="183"/>
      <c r="AO35" s="183"/>
      <c r="AP35" s="183"/>
      <c r="AQ35" s="183"/>
      <c r="AR35" s="183"/>
      <c r="AS35" s="183"/>
      <c r="AT35" s="183"/>
      <c r="AU35" s="183"/>
      <c r="AV35" s="183"/>
      <c r="AW35" s="183"/>
      <c r="AX35" s="192"/>
      <c r="AY35" s="192"/>
      <c r="AZ35" s="192"/>
      <c r="BA35" s="183"/>
    </row>
    <row r="36" spans="2:53" ht="18.75" customHeight="1" x14ac:dyDescent="0.2">
      <c r="S36" s="162" t="str">
        <f>IF(M9="","",UPPER(M9))</f>
        <v>D</v>
      </c>
      <c r="T36" s="170"/>
      <c r="U36" s="171"/>
      <c r="V36" s="171"/>
      <c r="W36" s="174"/>
      <c r="AC36" s="123" t="s">
        <v>85</v>
      </c>
      <c r="AD36" s="124">
        <f>D19</f>
        <v>2.7777777777777779E-3</v>
      </c>
      <c r="AE36" s="125"/>
      <c r="AF36" s="121"/>
      <c r="AG36" s="112"/>
      <c r="AH36" s="125"/>
      <c r="AI36" s="125"/>
      <c r="AJ36" s="71"/>
      <c r="AK36" s="185"/>
      <c r="AL36" s="183"/>
      <c r="AM36" s="183"/>
      <c r="AN36" s="183"/>
      <c r="AO36" s="183"/>
      <c r="AP36" s="183"/>
      <c r="AQ36" s="183"/>
      <c r="AR36" s="183"/>
      <c r="AS36" s="183"/>
      <c r="AT36" s="183"/>
      <c r="AU36" s="183"/>
      <c r="AV36" s="183"/>
      <c r="AW36" s="183"/>
      <c r="AX36" s="192"/>
      <c r="AY36" s="192"/>
      <c r="AZ36" s="192"/>
      <c r="BA36" s="183"/>
    </row>
    <row r="37" spans="2:53" ht="18.75" customHeight="1" thickBot="1" x14ac:dyDescent="0.25">
      <c r="T37" s="166"/>
      <c r="U37" s="167"/>
      <c r="V37" s="167"/>
      <c r="W37" s="175"/>
      <c r="AC37" s="123" t="s">
        <v>86</v>
      </c>
      <c r="AD37" s="124">
        <f>D20</f>
        <v>6.9444444444444447E-4</v>
      </c>
      <c r="AE37" s="125"/>
      <c r="AF37" s="127"/>
      <c r="AG37" s="128"/>
      <c r="AH37" s="125"/>
      <c r="AI37" s="125"/>
      <c r="AJ37" s="71"/>
      <c r="AK37" s="185"/>
      <c r="AL37" s="183"/>
      <c r="AM37" s="183"/>
      <c r="AN37" s="183"/>
      <c r="AO37" s="183"/>
      <c r="AP37" s="183"/>
      <c r="AQ37" s="183"/>
      <c r="AR37" s="183"/>
      <c r="AS37" s="183"/>
      <c r="AT37" s="183"/>
      <c r="AU37" s="183"/>
      <c r="AV37" s="183"/>
      <c r="AW37" s="183"/>
      <c r="AX37" s="192"/>
      <c r="AY37" s="192"/>
      <c r="AZ37" s="192"/>
      <c r="BA37" s="183"/>
    </row>
    <row r="38" spans="2:53" ht="18.75" customHeight="1" x14ac:dyDescent="0.2">
      <c r="T38" s="166"/>
      <c r="U38" s="167"/>
      <c r="V38" s="167"/>
      <c r="W38" s="175"/>
      <c r="AC38" s="125"/>
      <c r="AD38" s="125"/>
      <c r="AE38" s="125"/>
      <c r="AF38" s="125"/>
      <c r="AG38" s="128"/>
      <c r="AH38" s="125"/>
      <c r="AI38" s="125"/>
      <c r="AJ38" s="71"/>
      <c r="AK38" s="185"/>
      <c r="AL38" s="183"/>
      <c r="AM38" s="183"/>
      <c r="AN38" s="183"/>
      <c r="AO38" s="183"/>
      <c r="AP38" s="183"/>
      <c r="AQ38" s="183"/>
      <c r="AR38" s="183"/>
      <c r="AS38" s="183"/>
      <c r="AT38" s="183"/>
      <c r="AU38" s="183"/>
      <c r="AV38" s="183"/>
      <c r="AW38" s="183"/>
      <c r="AX38" s="192"/>
      <c r="AY38" s="192"/>
      <c r="AZ38" s="192"/>
      <c r="BA38" s="183"/>
    </row>
    <row r="39" spans="2:53" ht="18.75" customHeight="1" x14ac:dyDescent="0.2">
      <c r="T39" s="166"/>
      <c r="U39" s="167"/>
      <c r="V39" s="167"/>
      <c r="W39" s="175"/>
      <c r="AC39" s="129" t="s">
        <v>87</v>
      </c>
      <c r="AD39" s="125"/>
      <c r="AE39" s="125"/>
      <c r="AF39" s="125"/>
      <c r="AG39" s="128"/>
      <c r="AH39" s="125"/>
      <c r="AI39" s="125"/>
      <c r="AJ39" s="71"/>
      <c r="AK39" s="185"/>
      <c r="AL39" s="183"/>
      <c r="AM39" s="183"/>
      <c r="AN39" s="183"/>
      <c r="AO39" s="183"/>
      <c r="AP39" s="183"/>
      <c r="AQ39" s="183"/>
      <c r="AR39" s="183"/>
      <c r="AS39" s="183"/>
      <c r="AT39" s="183"/>
      <c r="AU39" s="183"/>
      <c r="AV39" s="183"/>
      <c r="AW39" s="183"/>
      <c r="AX39" s="192"/>
      <c r="AY39" s="192"/>
      <c r="AZ39" s="192"/>
      <c r="BA39" s="183"/>
    </row>
    <row r="40" spans="2:53" ht="18.75" customHeight="1" x14ac:dyDescent="0.2">
      <c r="T40" s="166"/>
      <c r="U40" s="167"/>
      <c r="V40" s="167"/>
      <c r="W40" s="175"/>
      <c r="AC40" s="130" t="s">
        <v>24</v>
      </c>
      <c r="AD40" s="131">
        <v>1</v>
      </c>
      <c r="AE40" s="132">
        <v>2</v>
      </c>
      <c r="AF40" s="132">
        <v>3</v>
      </c>
      <c r="AG40" s="132">
        <v>4</v>
      </c>
      <c r="AH40" s="132">
        <v>5</v>
      </c>
      <c r="AI40" s="132">
        <v>6</v>
      </c>
      <c r="AJ40" s="71"/>
      <c r="AK40" s="185"/>
      <c r="AL40" s="183"/>
      <c r="AM40" s="183"/>
      <c r="AN40" s="183"/>
      <c r="AO40" s="183"/>
      <c r="AP40" s="183"/>
      <c r="AQ40" s="183"/>
      <c r="AR40" s="183"/>
      <c r="AS40" s="183"/>
      <c r="AT40" s="183"/>
      <c r="AU40" s="183"/>
      <c r="AV40" s="183"/>
      <c r="AW40" s="183"/>
      <c r="AX40" s="192"/>
      <c r="AY40" s="192"/>
      <c r="AZ40" s="192"/>
      <c r="BA40" s="183"/>
    </row>
    <row r="41" spans="2:53" ht="18.75" customHeight="1" x14ac:dyDescent="0.2">
      <c r="B41" s="77"/>
      <c r="I41" s="78"/>
      <c r="T41" s="166"/>
      <c r="U41" s="167"/>
      <c r="V41" s="167"/>
      <c r="W41" s="175"/>
      <c r="AC41" s="129">
        <v>1</v>
      </c>
      <c r="AD41" s="133">
        <f t="shared" ref="AD41:AI41" si="4">$AD$35</f>
        <v>0.41666666666666669</v>
      </c>
      <c r="AE41" s="134">
        <f t="shared" si="4"/>
        <v>0.41666666666666669</v>
      </c>
      <c r="AF41" s="134">
        <f t="shared" si="4"/>
        <v>0.41666666666666669</v>
      </c>
      <c r="AG41" s="134">
        <f t="shared" si="4"/>
        <v>0.41666666666666669</v>
      </c>
      <c r="AH41" s="134">
        <f t="shared" si="4"/>
        <v>0.41666666666666669</v>
      </c>
      <c r="AI41" s="134">
        <f t="shared" si="4"/>
        <v>0.41666666666666669</v>
      </c>
      <c r="AJ41" s="71"/>
      <c r="AK41" s="185"/>
      <c r="AL41" s="183"/>
      <c r="AM41" s="183"/>
      <c r="AN41" s="183"/>
      <c r="AO41" s="183"/>
      <c r="AP41" s="183"/>
      <c r="AQ41" s="183"/>
      <c r="AR41" s="183"/>
      <c r="AS41" s="183"/>
      <c r="AT41" s="183"/>
      <c r="AU41" s="183"/>
      <c r="AV41" s="183"/>
      <c r="AW41" s="183"/>
      <c r="AX41" s="192"/>
      <c r="AY41" s="192"/>
      <c r="AZ41" s="192"/>
      <c r="BA41" s="183"/>
    </row>
    <row r="42" spans="2:53" ht="18.75" customHeight="1" x14ac:dyDescent="0.2">
      <c r="T42" s="166"/>
      <c r="U42" s="167"/>
      <c r="V42" s="167"/>
      <c r="W42" s="175"/>
      <c r="AC42" s="129">
        <v>2</v>
      </c>
      <c r="AD42" s="133">
        <f t="shared" ref="AD42:AD73" si="5">AD41+$AD$36+$AD$37</f>
        <v>0.4201388888888889</v>
      </c>
      <c r="AE42" s="134">
        <f>AE41</f>
        <v>0.41666666666666669</v>
      </c>
      <c r="AF42" s="134">
        <f>AF41</f>
        <v>0.41666666666666669</v>
      </c>
      <c r="AG42" s="134">
        <f>AG41</f>
        <v>0.41666666666666669</v>
      </c>
      <c r="AH42" s="134">
        <f>AH41</f>
        <v>0.41666666666666669</v>
      </c>
      <c r="AI42" s="134">
        <f>AI41</f>
        <v>0.41666666666666669</v>
      </c>
      <c r="AJ42" s="71"/>
      <c r="AK42" s="185"/>
      <c r="AL42" s="183"/>
      <c r="AM42" s="183"/>
      <c r="AN42" s="183"/>
      <c r="AO42" s="183"/>
      <c r="AP42" s="183"/>
      <c r="AQ42" s="183"/>
      <c r="AR42" s="183"/>
      <c r="AS42" s="183"/>
      <c r="AT42" s="183"/>
      <c r="AU42" s="183"/>
      <c r="AV42" s="183"/>
      <c r="AW42" s="183"/>
      <c r="AX42" s="192"/>
      <c r="AY42" s="192"/>
      <c r="AZ42" s="192"/>
      <c r="BA42" s="183"/>
    </row>
    <row r="43" spans="2:53" ht="18.75" customHeight="1" x14ac:dyDescent="0.2">
      <c r="T43" s="166"/>
      <c r="U43" s="167"/>
      <c r="V43" s="167"/>
      <c r="W43" s="175"/>
      <c r="AC43" s="129">
        <v>3</v>
      </c>
      <c r="AD43" s="133">
        <f t="shared" si="5"/>
        <v>0.4236111111111111</v>
      </c>
      <c r="AE43" s="134">
        <f>AE42+$AD$36+$AD$37</f>
        <v>0.4201388888888889</v>
      </c>
      <c r="AF43" s="134">
        <f>AF42</f>
        <v>0.41666666666666669</v>
      </c>
      <c r="AG43" s="134">
        <f>AG42</f>
        <v>0.41666666666666669</v>
      </c>
      <c r="AH43" s="134">
        <f>AH42</f>
        <v>0.41666666666666669</v>
      </c>
      <c r="AI43" s="134">
        <f>AI42</f>
        <v>0.41666666666666669</v>
      </c>
      <c r="AJ43" s="71"/>
      <c r="AK43" s="185"/>
      <c r="AL43" s="183"/>
      <c r="AM43" s="183"/>
      <c r="AN43" s="183"/>
      <c r="AO43" s="183"/>
      <c r="AP43" s="183"/>
      <c r="AQ43" s="183"/>
      <c r="AR43" s="183"/>
      <c r="AS43" s="183"/>
      <c r="AT43" s="183"/>
      <c r="AU43" s="183"/>
      <c r="AV43" s="183"/>
      <c r="AW43" s="183"/>
      <c r="AX43" s="192"/>
      <c r="AY43" s="192"/>
      <c r="AZ43" s="192"/>
      <c r="BA43" s="183"/>
    </row>
    <row r="44" spans="2:53" ht="18.75" customHeight="1" x14ac:dyDescent="0.2">
      <c r="T44" s="166"/>
      <c r="U44" s="167"/>
      <c r="V44" s="167"/>
      <c r="W44" s="175"/>
      <c r="AC44" s="129">
        <v>4</v>
      </c>
      <c r="AD44" s="133">
        <f t="shared" si="5"/>
        <v>0.42708333333333331</v>
      </c>
      <c r="AE44" s="134">
        <f>AE43</f>
        <v>0.4201388888888889</v>
      </c>
      <c r="AF44" s="134">
        <f>AF43+$AD$36+$AD$37</f>
        <v>0.4201388888888889</v>
      </c>
      <c r="AG44" s="134">
        <f>AG43</f>
        <v>0.41666666666666669</v>
      </c>
      <c r="AH44" s="134">
        <f>AH43</f>
        <v>0.41666666666666669</v>
      </c>
      <c r="AI44" s="134">
        <f>AI43</f>
        <v>0.41666666666666669</v>
      </c>
      <c r="AJ44" s="183"/>
      <c r="AK44" s="192"/>
      <c r="AL44" s="192"/>
      <c r="AM44" s="192"/>
      <c r="AN44" s="183"/>
    </row>
    <row r="45" spans="2:53" ht="18.75" customHeight="1" thickBot="1" x14ac:dyDescent="0.25">
      <c r="T45" s="168"/>
      <c r="U45" s="169"/>
      <c r="V45" s="169"/>
      <c r="W45" s="176"/>
      <c r="AC45" s="129">
        <v>5</v>
      </c>
      <c r="AD45" s="133">
        <f t="shared" si="5"/>
        <v>0.43055555555555552</v>
      </c>
      <c r="AE45" s="134">
        <f>AE44+$AD$36+$AD$37</f>
        <v>0.4236111111111111</v>
      </c>
      <c r="AF45" s="134">
        <f>AF44</f>
        <v>0.4201388888888889</v>
      </c>
      <c r="AG45" s="134">
        <f>AG44+$AD$36+$AD$37</f>
        <v>0.4201388888888889</v>
      </c>
      <c r="AH45" s="134">
        <f>AH44</f>
        <v>0.41666666666666669</v>
      </c>
      <c r="AI45" s="134">
        <f>AI44</f>
        <v>0.41666666666666669</v>
      </c>
      <c r="AJ45" s="183"/>
      <c r="AK45" s="192"/>
      <c r="AL45" s="192"/>
      <c r="AM45" s="192"/>
      <c r="AN45" s="183"/>
    </row>
    <row r="46" spans="2:53" ht="18.75" customHeight="1" x14ac:dyDescent="0.2">
      <c r="S46" s="162" t="str">
        <f>IF(M10="","",UPPER(M10))</f>
        <v>E</v>
      </c>
      <c r="T46" s="170"/>
      <c r="U46" s="171"/>
      <c r="V46" s="171"/>
      <c r="W46" s="174"/>
      <c r="AC46" s="129">
        <v>6</v>
      </c>
      <c r="AD46" s="133">
        <f t="shared" si="5"/>
        <v>0.43402777777777773</v>
      </c>
      <c r="AE46" s="134">
        <f>AE45</f>
        <v>0.4236111111111111</v>
      </c>
      <c r="AF46" s="134">
        <f>AF45</f>
        <v>0.4201388888888889</v>
      </c>
      <c r="AG46" s="134">
        <f>AG45</f>
        <v>0.4201388888888889</v>
      </c>
      <c r="AH46" s="134">
        <f>AH45+$AD$36+$AD$37</f>
        <v>0.4201388888888889</v>
      </c>
      <c r="AI46" s="134">
        <f>AI45</f>
        <v>0.41666666666666669</v>
      </c>
      <c r="AN46" s="183"/>
    </row>
    <row r="47" spans="2:53" ht="18.75" customHeight="1" x14ac:dyDescent="0.2">
      <c r="T47" s="166"/>
      <c r="U47" s="167"/>
      <c r="V47" s="167"/>
      <c r="W47" s="175"/>
      <c r="AC47" s="129">
        <v>7</v>
      </c>
      <c r="AD47" s="133">
        <f t="shared" si="5"/>
        <v>0.43749999999999994</v>
      </c>
      <c r="AE47" s="134">
        <f>AE46+$AD$36+$AD$37</f>
        <v>0.42708333333333331</v>
      </c>
      <c r="AF47" s="134">
        <f>AF46+$AD$36+$AD$37</f>
        <v>0.4236111111111111</v>
      </c>
      <c r="AG47" s="134">
        <f>AG46</f>
        <v>0.4201388888888889</v>
      </c>
      <c r="AH47" s="134">
        <f>AH46</f>
        <v>0.4201388888888889</v>
      </c>
      <c r="AI47" s="134">
        <f>AI46+$AD$36+$AD$37</f>
        <v>0.4201388888888889</v>
      </c>
      <c r="AJ47" s="183"/>
      <c r="AK47" s="192"/>
      <c r="AL47" s="192"/>
      <c r="AM47" s="192"/>
      <c r="AN47" s="183"/>
    </row>
    <row r="48" spans="2:53" ht="18.75" customHeight="1" x14ac:dyDescent="0.2">
      <c r="T48" s="166"/>
      <c r="U48" s="167"/>
      <c r="V48" s="167"/>
      <c r="W48" s="175"/>
      <c r="AC48" s="129">
        <v>8</v>
      </c>
      <c r="AD48" s="133">
        <f t="shared" si="5"/>
        <v>0.44097222222222215</v>
      </c>
      <c r="AE48" s="134">
        <f>AE47</f>
        <v>0.42708333333333331</v>
      </c>
      <c r="AF48" s="134">
        <f>AF47</f>
        <v>0.4236111111111111</v>
      </c>
      <c r="AG48" s="134">
        <f>AG47</f>
        <v>0.4201388888888889</v>
      </c>
      <c r="AH48" s="134">
        <f>AH47</f>
        <v>0.4201388888888889</v>
      </c>
      <c r="AI48" s="134">
        <f>AI47</f>
        <v>0.4201388888888889</v>
      </c>
      <c r="AJ48" s="183"/>
      <c r="AK48" s="192"/>
      <c r="AL48" s="192"/>
      <c r="AM48" s="192"/>
      <c r="AN48" s="183"/>
    </row>
    <row r="49" spans="19:40" ht="18.75" customHeight="1" x14ac:dyDescent="0.2">
      <c r="T49" s="166"/>
      <c r="U49" s="167"/>
      <c r="V49" s="167"/>
      <c r="W49" s="175"/>
      <c r="AC49" s="129">
        <v>9</v>
      </c>
      <c r="AD49" s="133">
        <f t="shared" si="5"/>
        <v>0.44444444444444436</v>
      </c>
      <c r="AE49" s="134">
        <f>AE48+$AD$36+$AD$37</f>
        <v>0.43055555555555552</v>
      </c>
      <c r="AF49" s="134">
        <f>AF48</f>
        <v>0.4236111111111111</v>
      </c>
      <c r="AG49" s="134">
        <f>AG48+$AD$36+$AD$37</f>
        <v>0.4236111111111111</v>
      </c>
      <c r="AH49" s="134">
        <f>AH48</f>
        <v>0.4201388888888889</v>
      </c>
      <c r="AI49" s="134">
        <f>AI48</f>
        <v>0.4201388888888889</v>
      </c>
      <c r="AJ49" s="183"/>
      <c r="AK49" s="192"/>
      <c r="AL49" s="192"/>
      <c r="AM49" s="192"/>
      <c r="AN49" s="183"/>
    </row>
    <row r="50" spans="19:40" ht="18.75" customHeight="1" x14ac:dyDescent="0.2">
      <c r="T50" s="166"/>
      <c r="U50" s="167"/>
      <c r="V50" s="167"/>
      <c r="W50" s="175"/>
      <c r="AC50" s="129">
        <v>10</v>
      </c>
      <c r="AD50" s="133">
        <f t="shared" si="5"/>
        <v>0.44791666666666657</v>
      </c>
      <c r="AE50" s="134">
        <f>AE49</f>
        <v>0.43055555555555552</v>
      </c>
      <c r="AF50" s="134">
        <f>AF49+$AD$36+$AD$37</f>
        <v>0.42708333333333331</v>
      </c>
      <c r="AG50" s="134">
        <f>AG49</f>
        <v>0.4236111111111111</v>
      </c>
      <c r="AH50" s="134">
        <f>AH49</f>
        <v>0.4201388888888889</v>
      </c>
      <c r="AI50" s="134">
        <f>AI49</f>
        <v>0.4201388888888889</v>
      </c>
      <c r="AJ50" s="183"/>
      <c r="AK50" s="192"/>
      <c r="AL50" s="192"/>
      <c r="AM50" s="192"/>
      <c r="AN50" s="183"/>
    </row>
    <row r="51" spans="19:40" ht="18.75" customHeight="1" x14ac:dyDescent="0.2">
      <c r="T51" s="166"/>
      <c r="U51" s="167"/>
      <c r="V51" s="167"/>
      <c r="W51" s="175"/>
      <c r="AC51" s="129">
        <v>11</v>
      </c>
      <c r="AD51" s="133">
        <f t="shared" si="5"/>
        <v>0.45138888888888878</v>
      </c>
      <c r="AE51" s="134">
        <f>AE50+$AD$36+$AD$37</f>
        <v>0.43402777777777773</v>
      </c>
      <c r="AF51" s="134">
        <f>AF50</f>
        <v>0.42708333333333331</v>
      </c>
      <c r="AG51" s="134">
        <f>AG50</f>
        <v>0.4236111111111111</v>
      </c>
      <c r="AH51" s="134">
        <f>AH50+$AD$36+$AD$37</f>
        <v>0.4236111111111111</v>
      </c>
      <c r="AI51" s="134">
        <f>AI50</f>
        <v>0.4201388888888889</v>
      </c>
      <c r="AJ51" s="183"/>
      <c r="AK51" s="192"/>
      <c r="AL51" s="192"/>
      <c r="AM51" s="192"/>
      <c r="AN51" s="183"/>
    </row>
    <row r="52" spans="19:40" ht="18.75" customHeight="1" x14ac:dyDescent="0.2">
      <c r="T52" s="166"/>
      <c r="U52" s="167"/>
      <c r="V52" s="167"/>
      <c r="W52" s="175"/>
      <c r="AC52" s="129">
        <v>12</v>
      </c>
      <c r="AD52" s="133">
        <f t="shared" si="5"/>
        <v>0.45486111111111099</v>
      </c>
      <c r="AE52" s="134">
        <f>AE51</f>
        <v>0.43402777777777773</v>
      </c>
      <c r="AF52" s="134">
        <f>AF51</f>
        <v>0.42708333333333331</v>
      </c>
      <c r="AG52" s="134">
        <f>AG51</f>
        <v>0.4236111111111111</v>
      </c>
      <c r="AH52" s="134">
        <f>AH51</f>
        <v>0.4236111111111111</v>
      </c>
      <c r="AI52" s="134">
        <f>AI51</f>
        <v>0.4201388888888889</v>
      </c>
      <c r="AJ52" s="183"/>
      <c r="AK52" s="192"/>
      <c r="AL52" s="192"/>
      <c r="AM52" s="192"/>
      <c r="AN52" s="183"/>
    </row>
    <row r="53" spans="19:40" ht="18.75" customHeight="1" x14ac:dyDescent="0.2">
      <c r="T53" s="166"/>
      <c r="U53" s="167"/>
      <c r="V53" s="167"/>
      <c r="W53" s="175"/>
      <c r="AC53" s="129">
        <v>13</v>
      </c>
      <c r="AD53" s="133">
        <f t="shared" si="5"/>
        <v>0.4583333333333332</v>
      </c>
      <c r="AE53" s="134">
        <f>AE52+$AD$36+$AD$37</f>
        <v>0.43749999999999994</v>
      </c>
      <c r="AF53" s="134">
        <f>AF52+$AD$36+$AD$37</f>
        <v>0.43055555555555552</v>
      </c>
      <c r="AG53" s="134">
        <f>AG52+$AD$36+$AD$37</f>
        <v>0.42708333333333331</v>
      </c>
      <c r="AH53" s="134">
        <f>AH52</f>
        <v>0.4236111111111111</v>
      </c>
      <c r="AI53" s="134">
        <f>AI52+$AD$36+$AD$37</f>
        <v>0.4236111111111111</v>
      </c>
      <c r="AJ53" s="183"/>
      <c r="AK53" s="192"/>
      <c r="AL53" s="192"/>
      <c r="AM53" s="192"/>
      <c r="AN53" s="183"/>
    </row>
    <row r="54" spans="19:40" ht="18.75" customHeight="1" x14ac:dyDescent="0.2">
      <c r="T54" s="166"/>
      <c r="U54" s="167"/>
      <c r="V54" s="167"/>
      <c r="W54" s="175"/>
      <c r="AC54" s="129">
        <v>14</v>
      </c>
      <c r="AD54" s="133">
        <f t="shared" si="5"/>
        <v>0.46180555555555541</v>
      </c>
      <c r="AE54" s="134">
        <f>AE53</f>
        <v>0.43749999999999994</v>
      </c>
      <c r="AF54" s="134">
        <f>AF53</f>
        <v>0.43055555555555552</v>
      </c>
      <c r="AG54" s="134">
        <f>AG53</f>
        <v>0.42708333333333331</v>
      </c>
      <c r="AH54" s="134">
        <f>AH53</f>
        <v>0.4236111111111111</v>
      </c>
      <c r="AI54" s="134">
        <f>AI53</f>
        <v>0.4236111111111111</v>
      </c>
      <c r="AJ54" s="183"/>
      <c r="AK54" s="192"/>
      <c r="AL54" s="192"/>
      <c r="AM54" s="192"/>
      <c r="AN54" s="183"/>
    </row>
    <row r="55" spans="19:40" ht="18.75" customHeight="1" thickBot="1" x14ac:dyDescent="0.25">
      <c r="T55" s="168"/>
      <c r="U55" s="169"/>
      <c r="V55" s="169"/>
      <c r="W55" s="176"/>
      <c r="AC55" s="129">
        <v>15</v>
      </c>
      <c r="AD55" s="133">
        <f t="shared" si="5"/>
        <v>0.46527777777777762</v>
      </c>
      <c r="AE55" s="134">
        <f>AE54+$AD$36+$AD$37</f>
        <v>0.44097222222222215</v>
      </c>
      <c r="AF55" s="134">
        <f>AF54</f>
        <v>0.43055555555555552</v>
      </c>
      <c r="AG55" s="134">
        <f>AG54</f>
        <v>0.42708333333333331</v>
      </c>
      <c r="AH55" s="134">
        <f>AH54</f>
        <v>0.4236111111111111</v>
      </c>
      <c r="AI55" s="134">
        <f>AI54</f>
        <v>0.4236111111111111</v>
      </c>
      <c r="AJ55" s="183"/>
      <c r="AK55" s="192"/>
      <c r="AL55" s="192"/>
      <c r="AM55" s="192"/>
      <c r="AN55" s="183"/>
    </row>
    <row r="56" spans="19:40" ht="18.75" customHeight="1" x14ac:dyDescent="0.2">
      <c r="S56" s="162" t="str">
        <f>IF(M11="","",UPPER(M11))</f>
        <v>F</v>
      </c>
      <c r="T56" s="170"/>
      <c r="U56" s="171"/>
      <c r="V56" s="171"/>
      <c r="W56" s="174"/>
      <c r="AC56" s="129">
        <v>16</v>
      </c>
      <c r="AD56" s="133">
        <f t="shared" si="5"/>
        <v>0.46874999999999983</v>
      </c>
      <c r="AE56" s="134">
        <f>AE55</f>
        <v>0.44097222222222215</v>
      </c>
      <c r="AF56" s="134">
        <f>AF55+$AD$36+$AD$37</f>
        <v>0.43402777777777773</v>
      </c>
      <c r="AG56" s="134">
        <f>AG55</f>
        <v>0.42708333333333331</v>
      </c>
      <c r="AH56" s="134">
        <f>AH55+$AD$36+$AD$37</f>
        <v>0.42708333333333331</v>
      </c>
      <c r="AI56" s="134">
        <f>AI55</f>
        <v>0.4236111111111111</v>
      </c>
      <c r="AJ56" s="183"/>
      <c r="AK56" s="192"/>
      <c r="AL56" s="192"/>
      <c r="AM56" s="192"/>
      <c r="AN56" s="183"/>
    </row>
    <row r="57" spans="19:40" ht="18.75" customHeight="1" x14ac:dyDescent="0.2">
      <c r="T57" s="166"/>
      <c r="U57" s="167"/>
      <c r="V57" s="167"/>
      <c r="W57" s="175"/>
      <c r="AC57" s="129">
        <v>17</v>
      </c>
      <c r="AD57" s="133">
        <f t="shared" si="5"/>
        <v>0.47222222222222204</v>
      </c>
      <c r="AE57" s="134">
        <f>AE56+$AD$36+$AD$37</f>
        <v>0.44444444444444436</v>
      </c>
      <c r="AF57" s="134">
        <f>AF56</f>
        <v>0.43402777777777773</v>
      </c>
      <c r="AG57" s="134">
        <f>AG56+$AD$36+$AD$37</f>
        <v>0.43055555555555552</v>
      </c>
      <c r="AH57" s="134">
        <f>AH56</f>
        <v>0.42708333333333331</v>
      </c>
      <c r="AI57" s="134">
        <f>AI56</f>
        <v>0.4236111111111111</v>
      </c>
      <c r="AJ57" s="183"/>
      <c r="AK57" s="192"/>
      <c r="AL57" s="192"/>
      <c r="AM57" s="192"/>
      <c r="AN57" s="183"/>
    </row>
    <row r="58" spans="19:40" ht="18.75" customHeight="1" x14ac:dyDescent="0.2">
      <c r="T58" s="166"/>
      <c r="U58" s="167"/>
      <c r="V58" s="167"/>
      <c r="W58" s="175"/>
      <c r="AC58" s="129">
        <v>18</v>
      </c>
      <c r="AD58" s="133">
        <f t="shared" si="5"/>
        <v>0.47569444444444425</v>
      </c>
      <c r="AE58" s="134">
        <f>AE57</f>
        <v>0.44444444444444436</v>
      </c>
      <c r="AF58" s="134">
        <f>AF57</f>
        <v>0.43402777777777773</v>
      </c>
      <c r="AG58" s="134">
        <f>AG57</f>
        <v>0.43055555555555552</v>
      </c>
      <c r="AH58" s="134">
        <f>AH57</f>
        <v>0.42708333333333331</v>
      </c>
      <c r="AI58" s="134">
        <f>AI57</f>
        <v>0.4236111111111111</v>
      </c>
      <c r="AJ58" s="183"/>
      <c r="AK58" s="192"/>
      <c r="AL58" s="192"/>
      <c r="AM58" s="192"/>
      <c r="AN58" s="183"/>
    </row>
    <row r="59" spans="19:40" ht="18.75" customHeight="1" x14ac:dyDescent="0.2">
      <c r="T59" s="166"/>
      <c r="U59" s="167"/>
      <c r="V59" s="167"/>
      <c r="W59" s="175"/>
      <c r="AC59" s="129">
        <v>19</v>
      </c>
      <c r="AD59" s="133">
        <f t="shared" si="5"/>
        <v>0.47916666666666646</v>
      </c>
      <c r="AE59" s="134">
        <f>AE58+$AD$36+$AD$37</f>
        <v>0.44791666666666657</v>
      </c>
      <c r="AF59" s="134">
        <f>AF58+$AD$36+$AD$37</f>
        <v>0.43749999999999994</v>
      </c>
      <c r="AG59" s="134">
        <f>AG58</f>
        <v>0.43055555555555552</v>
      </c>
      <c r="AH59" s="134">
        <f>AH58</f>
        <v>0.42708333333333331</v>
      </c>
      <c r="AI59" s="134">
        <f>AI58+$AD$36+$AD$37</f>
        <v>0.42708333333333331</v>
      </c>
      <c r="AJ59" s="183"/>
      <c r="AK59" s="192"/>
      <c r="AL59" s="192"/>
      <c r="AM59" s="192"/>
      <c r="AN59" s="183"/>
    </row>
    <row r="60" spans="19:40" ht="18.75" customHeight="1" x14ac:dyDescent="0.2">
      <c r="T60" s="166"/>
      <c r="U60" s="167"/>
      <c r="V60" s="167"/>
      <c r="W60" s="175"/>
      <c r="AC60" s="129">
        <v>20</v>
      </c>
      <c r="AD60" s="133">
        <f t="shared" si="5"/>
        <v>0.48263888888888867</v>
      </c>
      <c r="AE60" s="134">
        <f>AE59</f>
        <v>0.44791666666666657</v>
      </c>
      <c r="AF60" s="134">
        <f>AF59</f>
        <v>0.43749999999999994</v>
      </c>
      <c r="AG60" s="134">
        <f>AG59</f>
        <v>0.43055555555555552</v>
      </c>
      <c r="AH60" s="134">
        <f>AH59</f>
        <v>0.42708333333333331</v>
      </c>
      <c r="AI60" s="134">
        <f>AI59</f>
        <v>0.42708333333333331</v>
      </c>
      <c r="AJ60" s="183"/>
      <c r="AK60" s="192"/>
      <c r="AL60" s="192"/>
      <c r="AM60" s="192"/>
      <c r="AN60" s="183"/>
    </row>
    <row r="61" spans="19:40" ht="18.75" customHeight="1" x14ac:dyDescent="0.2">
      <c r="T61" s="166"/>
      <c r="U61" s="167"/>
      <c r="V61" s="167"/>
      <c r="W61" s="175"/>
      <c r="AC61" s="129">
        <v>21</v>
      </c>
      <c r="AD61" s="133">
        <f t="shared" si="5"/>
        <v>0.48611111111111088</v>
      </c>
      <c r="AE61" s="134">
        <f>AE60+$AD$36+$AD$37</f>
        <v>0.45138888888888878</v>
      </c>
      <c r="AF61" s="134">
        <f>AF60</f>
        <v>0.43749999999999994</v>
      </c>
      <c r="AG61" s="134">
        <f>AG60+$AD$36+$AD$37</f>
        <v>0.43402777777777773</v>
      </c>
      <c r="AH61" s="134">
        <f>AH60+$AD$36+$AD$37</f>
        <v>0.43055555555555552</v>
      </c>
      <c r="AI61" s="134">
        <f>AI60</f>
        <v>0.42708333333333331</v>
      </c>
    </row>
    <row r="62" spans="19:40" ht="18.75" customHeight="1" x14ac:dyDescent="0.2">
      <c r="T62" s="166"/>
      <c r="U62" s="167"/>
      <c r="V62" s="167"/>
      <c r="W62" s="175"/>
      <c r="AC62" s="129">
        <v>22</v>
      </c>
      <c r="AD62" s="133">
        <f t="shared" si="5"/>
        <v>0.48958333333333309</v>
      </c>
      <c r="AE62" s="134">
        <f>AE61</f>
        <v>0.45138888888888878</v>
      </c>
      <c r="AF62" s="134">
        <f>AF61+$AD$36+$AD$37</f>
        <v>0.44097222222222215</v>
      </c>
      <c r="AG62" s="134">
        <f t="shared" ref="AG62:AH64" si="6">AG61</f>
        <v>0.43402777777777773</v>
      </c>
      <c r="AH62" s="134">
        <f t="shared" si="6"/>
        <v>0.43055555555555552</v>
      </c>
      <c r="AI62" s="134">
        <f>AI61</f>
        <v>0.42708333333333331</v>
      </c>
    </row>
    <row r="63" spans="19:40" ht="18.75" customHeight="1" x14ac:dyDescent="0.2">
      <c r="T63" s="166"/>
      <c r="U63" s="167"/>
      <c r="V63" s="167"/>
      <c r="W63" s="175"/>
      <c r="AC63" s="129">
        <v>23</v>
      </c>
      <c r="AD63" s="133">
        <f t="shared" si="5"/>
        <v>0.4930555555555553</v>
      </c>
      <c r="AE63" s="134">
        <f>AE62+$AD$36+$AD$37</f>
        <v>0.45486111111111099</v>
      </c>
      <c r="AF63" s="134">
        <f>AF62</f>
        <v>0.44097222222222215</v>
      </c>
      <c r="AG63" s="134">
        <f t="shared" si="6"/>
        <v>0.43402777777777773</v>
      </c>
      <c r="AH63" s="134">
        <f t="shared" si="6"/>
        <v>0.43055555555555552</v>
      </c>
      <c r="AI63" s="134">
        <f>AI62</f>
        <v>0.42708333333333331</v>
      </c>
    </row>
    <row r="64" spans="19:40" ht="18.75" customHeight="1" x14ac:dyDescent="0.2">
      <c r="T64" s="166"/>
      <c r="U64" s="167"/>
      <c r="V64" s="167"/>
      <c r="W64" s="175"/>
      <c r="AC64" s="129">
        <v>24</v>
      </c>
      <c r="AD64" s="133">
        <f t="shared" si="5"/>
        <v>0.49652777777777751</v>
      </c>
      <c r="AE64" s="134">
        <f>AE63</f>
        <v>0.45486111111111099</v>
      </c>
      <c r="AF64" s="134">
        <f>AF63</f>
        <v>0.44097222222222215</v>
      </c>
      <c r="AG64" s="134">
        <f t="shared" si="6"/>
        <v>0.43402777777777773</v>
      </c>
      <c r="AH64" s="134">
        <f t="shared" si="6"/>
        <v>0.43055555555555552</v>
      </c>
      <c r="AI64" s="134">
        <f>AI63</f>
        <v>0.42708333333333331</v>
      </c>
    </row>
    <row r="65" spans="19:35" ht="18.75" customHeight="1" thickBot="1" x14ac:dyDescent="0.25">
      <c r="T65" s="168"/>
      <c r="U65" s="169"/>
      <c r="V65" s="169"/>
      <c r="W65" s="176"/>
      <c r="AC65" s="129">
        <v>25</v>
      </c>
      <c r="AD65" s="133">
        <f t="shared" si="5"/>
        <v>0.49999999999999972</v>
      </c>
      <c r="AE65" s="134">
        <f>AE64+$AD$36+$AD$37</f>
        <v>0.4583333333333332</v>
      </c>
      <c r="AF65" s="134">
        <f>AF64+$AD$36+$AD$37</f>
        <v>0.44444444444444436</v>
      </c>
      <c r="AG65" s="134">
        <f>AG64+$AD$36+$AD$37</f>
        <v>0.43749999999999994</v>
      </c>
      <c r="AH65" s="134">
        <f>AH64</f>
        <v>0.43055555555555552</v>
      </c>
      <c r="AI65" s="134">
        <f>AI64+$AD$36+$AD$37</f>
        <v>0.43055555555555552</v>
      </c>
    </row>
    <row r="66" spans="19:35" ht="18.75" customHeight="1" x14ac:dyDescent="0.2">
      <c r="S66" s="162" t="str">
        <f>IF(M12="","",UPPER(M12))</f>
        <v>G</v>
      </c>
      <c r="T66" s="170"/>
      <c r="U66" s="171"/>
      <c r="V66" s="171"/>
      <c r="W66" s="174"/>
      <c r="AC66" s="129">
        <v>26</v>
      </c>
      <c r="AD66" s="133">
        <f t="shared" si="5"/>
        <v>0.50347222222222199</v>
      </c>
      <c r="AE66" s="134">
        <f>AE65</f>
        <v>0.4583333333333332</v>
      </c>
      <c r="AF66" s="134">
        <f>AF65</f>
        <v>0.44444444444444436</v>
      </c>
      <c r="AG66" s="134">
        <f>AG65</f>
        <v>0.43749999999999994</v>
      </c>
      <c r="AH66" s="134">
        <f>AH65+$AD$36+$AD$37</f>
        <v>0.43402777777777773</v>
      </c>
      <c r="AI66" s="134">
        <f>AI65</f>
        <v>0.43055555555555552</v>
      </c>
    </row>
    <row r="67" spans="19:35" ht="18.75" customHeight="1" x14ac:dyDescent="0.2">
      <c r="T67" s="166"/>
      <c r="U67" s="167"/>
      <c r="V67" s="167"/>
      <c r="W67" s="175"/>
      <c r="AC67" s="129">
        <v>27</v>
      </c>
      <c r="AD67" s="133">
        <f t="shared" si="5"/>
        <v>0.5069444444444442</v>
      </c>
      <c r="AE67" s="134">
        <f>AE66+$AD$36+$AD$37</f>
        <v>0.46180555555555541</v>
      </c>
      <c r="AF67" s="134">
        <f>AF66</f>
        <v>0.44444444444444436</v>
      </c>
      <c r="AG67" s="134">
        <f>AG66</f>
        <v>0.43749999999999994</v>
      </c>
      <c r="AH67" s="134">
        <f>AH66</f>
        <v>0.43402777777777773</v>
      </c>
      <c r="AI67" s="134">
        <f>AI66</f>
        <v>0.43055555555555552</v>
      </c>
    </row>
    <row r="68" spans="19:35" ht="18.75" customHeight="1" x14ac:dyDescent="0.2">
      <c r="T68" s="166"/>
      <c r="U68" s="167"/>
      <c r="V68" s="167"/>
      <c r="W68" s="175"/>
      <c r="AC68" s="129">
        <v>28</v>
      </c>
      <c r="AD68" s="133">
        <f t="shared" si="5"/>
        <v>0.51041666666666641</v>
      </c>
      <c r="AE68" s="134">
        <f>AE67</f>
        <v>0.46180555555555541</v>
      </c>
      <c r="AF68" s="134">
        <f>AF67+$AD$36+$AD$37</f>
        <v>0.44791666666666657</v>
      </c>
      <c r="AG68" s="134">
        <f>AG67</f>
        <v>0.43749999999999994</v>
      </c>
      <c r="AH68" s="134">
        <f>AH67</f>
        <v>0.43402777777777773</v>
      </c>
      <c r="AI68" s="134">
        <f>AI67</f>
        <v>0.43055555555555552</v>
      </c>
    </row>
    <row r="69" spans="19:35" ht="18.75" customHeight="1" x14ac:dyDescent="0.2">
      <c r="T69" s="166"/>
      <c r="U69" s="167"/>
      <c r="V69" s="167"/>
      <c r="W69" s="175"/>
      <c r="AC69" s="129">
        <v>29</v>
      </c>
      <c r="AD69" s="133">
        <f t="shared" si="5"/>
        <v>0.51388888888888862</v>
      </c>
      <c r="AE69" s="134">
        <f>AE68+$AD$36+$AD$37</f>
        <v>0.46527777777777762</v>
      </c>
      <c r="AF69" s="134">
        <f>AF68</f>
        <v>0.44791666666666657</v>
      </c>
      <c r="AG69" s="134">
        <f>AG68+$AD$36+$AD$37</f>
        <v>0.44097222222222215</v>
      </c>
      <c r="AH69" s="134">
        <f>AH68</f>
        <v>0.43402777777777773</v>
      </c>
      <c r="AI69" s="134">
        <f>AI68</f>
        <v>0.43055555555555552</v>
      </c>
    </row>
    <row r="70" spans="19:35" ht="18.75" customHeight="1" x14ac:dyDescent="0.2">
      <c r="T70" s="166"/>
      <c r="U70" s="167"/>
      <c r="V70" s="167"/>
      <c r="W70" s="175"/>
      <c r="AC70" s="129">
        <v>30</v>
      </c>
      <c r="AD70" s="133">
        <f t="shared" si="5"/>
        <v>0.51736111111111083</v>
      </c>
      <c r="AE70" s="134">
        <f>AE69</f>
        <v>0.46527777777777762</v>
      </c>
      <c r="AF70" s="134">
        <f>AF69</f>
        <v>0.44791666666666657</v>
      </c>
      <c r="AG70" s="134">
        <f>AG69</f>
        <v>0.44097222222222215</v>
      </c>
      <c r="AH70" s="134">
        <f>AH69</f>
        <v>0.43402777777777773</v>
      </c>
      <c r="AI70" s="134">
        <f>AI69</f>
        <v>0.43055555555555552</v>
      </c>
    </row>
    <row r="71" spans="19:35" ht="18.75" customHeight="1" x14ac:dyDescent="0.2">
      <c r="T71" s="166"/>
      <c r="U71" s="167"/>
      <c r="V71" s="167"/>
      <c r="W71" s="175"/>
      <c r="AC71" s="129">
        <v>31</v>
      </c>
      <c r="AD71" s="133">
        <f t="shared" si="5"/>
        <v>0.52083333333333304</v>
      </c>
      <c r="AE71" s="134">
        <f>AE70+$AD$36+$AD$37</f>
        <v>0.46874999999999983</v>
      </c>
      <c r="AF71" s="134">
        <f>AF70+$AD$36+$AD$37</f>
        <v>0.45138888888888878</v>
      </c>
      <c r="AG71" s="134">
        <f>AG70</f>
        <v>0.44097222222222215</v>
      </c>
      <c r="AH71" s="134">
        <f>AH70+$AD$36+$AD$37</f>
        <v>0.43749999999999994</v>
      </c>
      <c r="AI71" s="134">
        <f>AI70+$AD$36+$AD$37</f>
        <v>0.43402777777777773</v>
      </c>
    </row>
    <row r="72" spans="19:35" ht="18.75" customHeight="1" x14ac:dyDescent="0.2">
      <c r="T72" s="166"/>
      <c r="U72" s="167"/>
      <c r="V72" s="167"/>
      <c r="W72" s="175"/>
      <c r="AC72" s="129">
        <v>32</v>
      </c>
      <c r="AD72" s="133">
        <f t="shared" si="5"/>
        <v>0.52430555555555525</v>
      </c>
      <c r="AE72" s="134">
        <f>AE71</f>
        <v>0.46874999999999983</v>
      </c>
      <c r="AF72" s="134">
        <f>AF71</f>
        <v>0.45138888888888878</v>
      </c>
      <c r="AG72" s="134">
        <f>AG71</f>
        <v>0.44097222222222215</v>
      </c>
      <c r="AH72" s="134">
        <f t="shared" ref="AH72:AI75" si="7">AH71</f>
        <v>0.43749999999999994</v>
      </c>
      <c r="AI72" s="134">
        <f t="shared" si="7"/>
        <v>0.43402777777777773</v>
      </c>
    </row>
    <row r="73" spans="19:35" ht="18.75" customHeight="1" x14ac:dyDescent="0.2">
      <c r="T73" s="166"/>
      <c r="U73" s="167"/>
      <c r="V73" s="167"/>
      <c r="W73" s="175"/>
      <c r="AC73" s="129">
        <v>33</v>
      </c>
      <c r="AD73" s="133">
        <f t="shared" si="5"/>
        <v>0.52777777777777746</v>
      </c>
      <c r="AE73" s="134">
        <f>AE72+$AD$36+$AD$37</f>
        <v>0.47222222222222204</v>
      </c>
      <c r="AF73" s="134">
        <f>AF72</f>
        <v>0.45138888888888878</v>
      </c>
      <c r="AG73" s="134">
        <f>AG72+$AD$36+$AD$37</f>
        <v>0.44444444444444436</v>
      </c>
      <c r="AH73" s="134">
        <f t="shared" si="7"/>
        <v>0.43749999999999994</v>
      </c>
      <c r="AI73" s="134">
        <f t="shared" si="7"/>
        <v>0.43402777777777773</v>
      </c>
    </row>
    <row r="74" spans="19:35" ht="18.75" customHeight="1" x14ac:dyDescent="0.2">
      <c r="T74" s="166"/>
      <c r="U74" s="167"/>
      <c r="V74" s="167"/>
      <c r="W74" s="175"/>
      <c r="AC74" s="129">
        <v>34</v>
      </c>
      <c r="AD74" s="133">
        <f t="shared" ref="AD74:AD105" si="8">AD73+$AD$36+$AD$37</f>
        <v>0.53124999999999967</v>
      </c>
      <c r="AE74" s="134">
        <f>AE73</f>
        <v>0.47222222222222204</v>
      </c>
      <c r="AF74" s="134">
        <f>AF73+$AD$36+$AD$37</f>
        <v>0.45486111111111099</v>
      </c>
      <c r="AG74" s="134">
        <f>AG73</f>
        <v>0.44444444444444436</v>
      </c>
      <c r="AH74" s="134">
        <f t="shared" si="7"/>
        <v>0.43749999999999994</v>
      </c>
      <c r="AI74" s="134">
        <f t="shared" si="7"/>
        <v>0.43402777777777773</v>
      </c>
    </row>
    <row r="75" spans="19:35" ht="18.75" customHeight="1" thickBot="1" x14ac:dyDescent="0.25">
      <c r="T75" s="168"/>
      <c r="U75" s="169"/>
      <c r="V75" s="169"/>
      <c r="W75" s="176"/>
      <c r="AC75" s="129">
        <v>35</v>
      </c>
      <c r="AD75" s="133">
        <f t="shared" si="8"/>
        <v>0.53472222222222188</v>
      </c>
      <c r="AE75" s="134">
        <f>AE74+$AD$36+$AD$37</f>
        <v>0.47569444444444425</v>
      </c>
      <c r="AF75" s="134">
        <f>AF74</f>
        <v>0.45486111111111099</v>
      </c>
      <c r="AG75" s="134">
        <f>AG74</f>
        <v>0.44444444444444436</v>
      </c>
      <c r="AH75" s="134">
        <f t="shared" si="7"/>
        <v>0.43749999999999994</v>
      </c>
      <c r="AI75" s="134">
        <f t="shared" si="7"/>
        <v>0.43402777777777773</v>
      </c>
    </row>
    <row r="76" spans="19:35" ht="18.75" customHeight="1" x14ac:dyDescent="0.2">
      <c r="S76" s="162" t="str">
        <f>IF(M13="","",UPPER(M13))</f>
        <v>H</v>
      </c>
      <c r="T76" s="170"/>
      <c r="U76" s="171"/>
      <c r="V76" s="171"/>
      <c r="W76" s="174"/>
      <c r="AC76" s="129">
        <v>36</v>
      </c>
      <c r="AD76" s="133">
        <f t="shared" si="8"/>
        <v>0.53819444444444409</v>
      </c>
      <c r="AE76" s="134">
        <f>AE75</f>
        <v>0.47569444444444425</v>
      </c>
      <c r="AF76" s="134">
        <f>AF75</f>
        <v>0.45486111111111099</v>
      </c>
      <c r="AG76" s="134">
        <f>AG75</f>
        <v>0.44444444444444436</v>
      </c>
      <c r="AH76" s="134">
        <f>AH75+$AD$36+$AD$37</f>
        <v>0.44097222222222215</v>
      </c>
      <c r="AI76" s="134">
        <f>AI75</f>
        <v>0.43402777777777773</v>
      </c>
    </row>
    <row r="77" spans="19:35" ht="18.75" customHeight="1" x14ac:dyDescent="0.2">
      <c r="T77" s="166"/>
      <c r="U77" s="167"/>
      <c r="V77" s="167"/>
      <c r="W77" s="175"/>
      <c r="AC77" s="129">
        <v>37</v>
      </c>
      <c r="AD77" s="133">
        <f t="shared" si="8"/>
        <v>0.5416666666666663</v>
      </c>
      <c r="AE77" s="134">
        <f>AE76+$AD$36+$AD$37</f>
        <v>0.47916666666666646</v>
      </c>
      <c r="AF77" s="134">
        <f>AF76+$AD$36+$AD$37</f>
        <v>0.4583333333333332</v>
      </c>
      <c r="AG77" s="134">
        <f>AG76+$AD$36+$AD$37</f>
        <v>0.44791666666666657</v>
      </c>
      <c r="AH77" s="134">
        <f>AH76</f>
        <v>0.44097222222222215</v>
      </c>
      <c r="AI77" s="134">
        <f>AI76+$AD$36+$AD$37</f>
        <v>0.43749999999999994</v>
      </c>
    </row>
    <row r="78" spans="19:35" ht="18.75" customHeight="1" x14ac:dyDescent="0.2">
      <c r="T78" s="166"/>
      <c r="U78" s="167"/>
      <c r="V78" s="167"/>
      <c r="W78" s="175"/>
      <c r="AC78" s="129">
        <v>38</v>
      </c>
      <c r="AD78" s="133">
        <f t="shared" si="8"/>
        <v>0.54513888888888851</v>
      </c>
      <c r="AE78" s="134">
        <f>AE77</f>
        <v>0.47916666666666646</v>
      </c>
      <c r="AF78" s="134">
        <f>AF77</f>
        <v>0.4583333333333332</v>
      </c>
      <c r="AG78" s="134">
        <f>AG77</f>
        <v>0.44791666666666657</v>
      </c>
      <c r="AH78" s="134">
        <f>AH77</f>
        <v>0.44097222222222215</v>
      </c>
      <c r="AI78" s="134">
        <f>AI77</f>
        <v>0.43749999999999994</v>
      </c>
    </row>
    <row r="79" spans="19:35" ht="18.75" customHeight="1" x14ac:dyDescent="0.2">
      <c r="T79" s="166"/>
      <c r="U79" s="167"/>
      <c r="V79" s="167"/>
      <c r="W79" s="175"/>
      <c r="AC79" s="129">
        <v>39</v>
      </c>
      <c r="AD79" s="133">
        <f t="shared" si="8"/>
        <v>0.54861111111111072</v>
      </c>
      <c r="AE79" s="134">
        <f>AE78+$AD$36+$AD$37</f>
        <v>0.48263888888888867</v>
      </c>
      <c r="AF79" s="134">
        <f>AF78</f>
        <v>0.4583333333333332</v>
      </c>
      <c r="AG79" s="134">
        <f>AG78</f>
        <v>0.44791666666666657</v>
      </c>
      <c r="AH79" s="134">
        <f>AH78</f>
        <v>0.44097222222222215</v>
      </c>
      <c r="AI79" s="134">
        <f>AI78</f>
        <v>0.43749999999999994</v>
      </c>
    </row>
    <row r="80" spans="19:35" ht="18.75" customHeight="1" x14ac:dyDescent="0.2">
      <c r="T80" s="166"/>
      <c r="U80" s="167"/>
      <c r="V80" s="167"/>
      <c r="W80" s="175"/>
      <c r="AC80" s="129">
        <v>40</v>
      </c>
      <c r="AD80" s="133">
        <f t="shared" si="8"/>
        <v>0.55208333333333293</v>
      </c>
      <c r="AE80" s="134">
        <f>AE79</f>
        <v>0.48263888888888867</v>
      </c>
      <c r="AF80" s="134">
        <f>AF79+$AD$36+$AD$37</f>
        <v>0.46180555555555541</v>
      </c>
      <c r="AG80" s="134">
        <f>AG79</f>
        <v>0.44791666666666657</v>
      </c>
      <c r="AH80" s="134">
        <f>AH79</f>
        <v>0.44097222222222215</v>
      </c>
      <c r="AI80" s="134">
        <f>AI79</f>
        <v>0.43749999999999994</v>
      </c>
    </row>
    <row r="81" spans="19:35" ht="18.75" customHeight="1" x14ac:dyDescent="0.2">
      <c r="T81" s="166"/>
      <c r="U81" s="167"/>
      <c r="V81" s="167"/>
      <c r="W81" s="175"/>
      <c r="AC81" s="129">
        <v>41</v>
      </c>
      <c r="AD81" s="133">
        <f t="shared" si="8"/>
        <v>0.55555555555555514</v>
      </c>
      <c r="AE81" s="134">
        <f>AE80+$AD$36+$AD$37</f>
        <v>0.48611111111111088</v>
      </c>
      <c r="AF81" s="134">
        <f>AF80</f>
        <v>0.46180555555555541</v>
      </c>
      <c r="AG81" s="134">
        <f>AG80+$AD$36+$AD$37</f>
        <v>0.45138888888888878</v>
      </c>
      <c r="AH81" s="134">
        <f>AH80+$AD$36+$AD$37</f>
        <v>0.44444444444444436</v>
      </c>
      <c r="AI81" s="134">
        <f>AI80</f>
        <v>0.43749999999999994</v>
      </c>
    </row>
    <row r="82" spans="19:35" ht="18.75" customHeight="1" x14ac:dyDescent="0.2">
      <c r="T82" s="166"/>
      <c r="U82" s="167"/>
      <c r="V82" s="167"/>
      <c r="W82" s="175"/>
      <c r="AC82" s="129">
        <v>42</v>
      </c>
      <c r="AD82" s="133">
        <f t="shared" si="8"/>
        <v>0.55902777777777735</v>
      </c>
      <c r="AE82" s="134">
        <f>AE81</f>
        <v>0.48611111111111088</v>
      </c>
      <c r="AF82" s="134">
        <f>AF81</f>
        <v>0.46180555555555541</v>
      </c>
      <c r="AG82" s="134">
        <f t="shared" ref="AG82:AH84" si="9">AG81</f>
        <v>0.45138888888888878</v>
      </c>
      <c r="AH82" s="134">
        <f t="shared" si="9"/>
        <v>0.44444444444444436</v>
      </c>
      <c r="AI82" s="134">
        <f>AI81</f>
        <v>0.43749999999999994</v>
      </c>
    </row>
    <row r="83" spans="19:35" ht="18.75" customHeight="1" x14ac:dyDescent="0.2">
      <c r="T83" s="166"/>
      <c r="U83" s="167"/>
      <c r="V83" s="167"/>
      <c r="W83" s="175"/>
      <c r="AC83" s="129">
        <v>43</v>
      </c>
      <c r="AD83" s="133">
        <f t="shared" si="8"/>
        <v>0.56249999999999956</v>
      </c>
      <c r="AE83" s="134">
        <f>AE82+$AD$36+$AD$37</f>
        <v>0.48958333333333309</v>
      </c>
      <c r="AF83" s="134">
        <f>AF82+$AD$36+$AD$37</f>
        <v>0.46527777777777762</v>
      </c>
      <c r="AG83" s="134">
        <f t="shared" si="9"/>
        <v>0.45138888888888878</v>
      </c>
      <c r="AH83" s="134">
        <f t="shared" si="9"/>
        <v>0.44444444444444436</v>
      </c>
      <c r="AI83" s="134">
        <f>AI82+$AD$36+$AD$37</f>
        <v>0.44097222222222215</v>
      </c>
    </row>
    <row r="84" spans="19:35" ht="18.75" customHeight="1" x14ac:dyDescent="0.2">
      <c r="T84" s="166"/>
      <c r="U84" s="167"/>
      <c r="V84" s="167"/>
      <c r="W84" s="175"/>
      <c r="AC84" s="129">
        <v>44</v>
      </c>
      <c r="AD84" s="133">
        <f t="shared" si="8"/>
        <v>0.56597222222222177</v>
      </c>
      <c r="AE84" s="134">
        <f>AE83</f>
        <v>0.48958333333333309</v>
      </c>
      <c r="AF84" s="134">
        <f>AF83</f>
        <v>0.46527777777777762</v>
      </c>
      <c r="AG84" s="134">
        <f t="shared" si="9"/>
        <v>0.45138888888888878</v>
      </c>
      <c r="AH84" s="134">
        <f t="shared" si="9"/>
        <v>0.44444444444444436</v>
      </c>
      <c r="AI84" s="134">
        <f>AI83</f>
        <v>0.44097222222222215</v>
      </c>
    </row>
    <row r="85" spans="19:35" ht="18.75" customHeight="1" thickBot="1" x14ac:dyDescent="0.25">
      <c r="T85" s="168"/>
      <c r="U85" s="169"/>
      <c r="V85" s="169"/>
      <c r="W85" s="176"/>
      <c r="AC85" s="129">
        <v>45</v>
      </c>
      <c r="AD85" s="133">
        <f t="shared" si="8"/>
        <v>0.56944444444444398</v>
      </c>
      <c r="AE85" s="134">
        <f>AE84+$AD$36+$AD$37</f>
        <v>0.4930555555555553</v>
      </c>
      <c r="AF85" s="134">
        <f>AF84</f>
        <v>0.46527777777777762</v>
      </c>
      <c r="AG85" s="134">
        <f>AG84+$AD$36+$AD$37</f>
        <v>0.45486111111111099</v>
      </c>
      <c r="AH85" s="134">
        <f>AH84</f>
        <v>0.44444444444444436</v>
      </c>
      <c r="AI85" s="134">
        <f>AI84</f>
        <v>0.44097222222222215</v>
      </c>
    </row>
    <row r="86" spans="19:35" ht="18.75" customHeight="1" x14ac:dyDescent="0.2">
      <c r="S86" s="162" t="str">
        <f>IF(M14="","",UPPER(M14))</f>
        <v>I</v>
      </c>
      <c r="T86" s="170"/>
      <c r="U86" s="171"/>
      <c r="V86" s="171"/>
      <c r="W86" s="174"/>
      <c r="AC86" s="129">
        <v>46</v>
      </c>
      <c r="AD86" s="133">
        <f t="shared" si="8"/>
        <v>0.57291666666666619</v>
      </c>
      <c r="AE86" s="134">
        <f>AE85</f>
        <v>0.4930555555555553</v>
      </c>
      <c r="AF86" s="134">
        <f>AF85+$AD$36+$AD$37</f>
        <v>0.46874999999999983</v>
      </c>
      <c r="AG86" s="134">
        <f>AG85</f>
        <v>0.45486111111111099</v>
      </c>
      <c r="AH86" s="134">
        <f>AH85+$AD$36+$AD$37</f>
        <v>0.44791666666666657</v>
      </c>
      <c r="AI86" s="134">
        <f>AI85</f>
        <v>0.44097222222222215</v>
      </c>
    </row>
    <row r="87" spans="19:35" ht="18.75" customHeight="1" x14ac:dyDescent="0.2">
      <c r="T87" s="166"/>
      <c r="U87" s="167"/>
      <c r="V87" s="167"/>
      <c r="W87" s="175"/>
      <c r="AC87" s="129">
        <v>47</v>
      </c>
      <c r="AD87" s="133">
        <f t="shared" si="8"/>
        <v>0.5763888888888884</v>
      </c>
      <c r="AE87" s="134">
        <f>AE86+$AD$36+$AD$37</f>
        <v>0.49652777777777751</v>
      </c>
      <c r="AF87" s="134">
        <f>AF86</f>
        <v>0.46874999999999983</v>
      </c>
      <c r="AG87" s="134">
        <f>AG86</f>
        <v>0.45486111111111099</v>
      </c>
      <c r="AH87" s="134">
        <f>AH86</f>
        <v>0.44791666666666657</v>
      </c>
      <c r="AI87" s="134">
        <f>AI86</f>
        <v>0.44097222222222215</v>
      </c>
    </row>
    <row r="88" spans="19:35" ht="18.75" customHeight="1" x14ac:dyDescent="0.2">
      <c r="T88" s="166"/>
      <c r="U88" s="167"/>
      <c r="V88" s="167"/>
      <c r="W88" s="175"/>
      <c r="AC88" s="129">
        <v>48</v>
      </c>
      <c r="AD88" s="133">
        <f t="shared" si="8"/>
        <v>0.57986111111111061</v>
      </c>
      <c r="AE88" s="134">
        <f>AE87</f>
        <v>0.49652777777777751</v>
      </c>
      <c r="AF88" s="134">
        <f>AF87</f>
        <v>0.46874999999999983</v>
      </c>
      <c r="AG88" s="134">
        <f>AG87</f>
        <v>0.45486111111111099</v>
      </c>
      <c r="AH88" s="134">
        <f>AH87</f>
        <v>0.44791666666666657</v>
      </c>
      <c r="AI88" s="134">
        <f>AI87</f>
        <v>0.44097222222222215</v>
      </c>
    </row>
    <row r="89" spans="19:35" ht="18.75" customHeight="1" x14ac:dyDescent="0.2">
      <c r="T89" s="166"/>
      <c r="U89" s="167"/>
      <c r="V89" s="167"/>
      <c r="W89" s="175"/>
      <c r="AC89" s="129">
        <v>49</v>
      </c>
      <c r="AD89" s="133">
        <f t="shared" si="8"/>
        <v>0.58333333333333282</v>
      </c>
      <c r="AE89" s="134">
        <f>AE88+$AD$36+$AD$37</f>
        <v>0.49999999999999972</v>
      </c>
      <c r="AF89" s="134">
        <f>AF88+$AD$36+$AD$37</f>
        <v>0.47222222222222204</v>
      </c>
      <c r="AG89" s="134">
        <f>AG88+$AD$36+$AD$37</f>
        <v>0.4583333333333332</v>
      </c>
      <c r="AH89" s="134">
        <f>AH88</f>
        <v>0.44791666666666657</v>
      </c>
      <c r="AI89" s="134">
        <f>AI88+$AD$36+$AD$37</f>
        <v>0.44444444444444436</v>
      </c>
    </row>
    <row r="90" spans="19:35" ht="18.75" customHeight="1" x14ac:dyDescent="0.2">
      <c r="T90" s="166"/>
      <c r="U90" s="167"/>
      <c r="V90" s="167"/>
      <c r="W90" s="175"/>
      <c r="AC90" s="129">
        <v>50</v>
      </c>
      <c r="AD90" s="133">
        <f t="shared" si="8"/>
        <v>0.58680555555555503</v>
      </c>
      <c r="AE90" s="134">
        <f>AE89</f>
        <v>0.49999999999999972</v>
      </c>
      <c r="AF90" s="134">
        <f>AF89</f>
        <v>0.47222222222222204</v>
      </c>
      <c r="AG90" s="134">
        <f>AG89</f>
        <v>0.4583333333333332</v>
      </c>
      <c r="AH90" s="134">
        <f>AH89</f>
        <v>0.44791666666666657</v>
      </c>
      <c r="AI90" s="134">
        <f>AI89</f>
        <v>0.44444444444444436</v>
      </c>
    </row>
    <row r="91" spans="19:35" ht="18.75" customHeight="1" x14ac:dyDescent="0.2">
      <c r="T91" s="166"/>
      <c r="U91" s="167"/>
      <c r="V91" s="167"/>
      <c r="W91" s="175"/>
      <c r="AC91" s="129">
        <v>51</v>
      </c>
      <c r="AD91" s="133">
        <f t="shared" si="8"/>
        <v>0.59027777777777724</v>
      </c>
      <c r="AE91" s="134">
        <f>AE90+$AD$36+$AD$37</f>
        <v>0.50347222222222199</v>
      </c>
      <c r="AF91" s="134">
        <f>AF90</f>
        <v>0.47222222222222204</v>
      </c>
      <c r="AG91" s="134">
        <f>AG90</f>
        <v>0.4583333333333332</v>
      </c>
      <c r="AH91" s="134">
        <f>AH90+$AD$36+$AD$37</f>
        <v>0.45138888888888878</v>
      </c>
      <c r="AI91" s="134">
        <f>AI90</f>
        <v>0.44444444444444436</v>
      </c>
    </row>
    <row r="92" spans="19:35" ht="18.75" customHeight="1" x14ac:dyDescent="0.2">
      <c r="T92" s="166"/>
      <c r="U92" s="167"/>
      <c r="V92" s="167"/>
      <c r="W92" s="175"/>
      <c r="AC92" s="129">
        <v>52</v>
      </c>
      <c r="AD92" s="133">
        <f t="shared" si="8"/>
        <v>0.59374999999999944</v>
      </c>
      <c r="AE92" s="134">
        <f>AE91</f>
        <v>0.50347222222222199</v>
      </c>
      <c r="AF92" s="134">
        <f>AF91+$AD$36+$AD$37</f>
        <v>0.47569444444444425</v>
      </c>
      <c r="AG92" s="134">
        <f>AG91</f>
        <v>0.4583333333333332</v>
      </c>
      <c r="AH92" s="134">
        <f>AH91</f>
        <v>0.45138888888888878</v>
      </c>
      <c r="AI92" s="134">
        <f>AI91</f>
        <v>0.44444444444444436</v>
      </c>
    </row>
    <row r="93" spans="19:35" ht="18.75" customHeight="1" x14ac:dyDescent="0.2">
      <c r="T93" s="166"/>
      <c r="U93" s="167"/>
      <c r="V93" s="167"/>
      <c r="W93" s="175"/>
      <c r="AC93" s="129">
        <v>53</v>
      </c>
      <c r="AD93" s="133">
        <f t="shared" si="8"/>
        <v>0.59722222222222165</v>
      </c>
      <c r="AE93" s="134">
        <f>AE92+$AD$36+$AD$37</f>
        <v>0.5069444444444442</v>
      </c>
      <c r="AF93" s="134">
        <f>AF92</f>
        <v>0.47569444444444425</v>
      </c>
      <c r="AG93" s="134">
        <f>AG92+$AD$36+$AD$37</f>
        <v>0.46180555555555541</v>
      </c>
      <c r="AH93" s="134">
        <f>AH92</f>
        <v>0.45138888888888878</v>
      </c>
      <c r="AI93" s="134">
        <f>AI92</f>
        <v>0.44444444444444436</v>
      </c>
    </row>
    <row r="94" spans="19:35" ht="18.75" customHeight="1" x14ac:dyDescent="0.2">
      <c r="T94" s="166"/>
      <c r="U94" s="167"/>
      <c r="V94" s="167"/>
      <c r="W94" s="175"/>
      <c r="AC94" s="129">
        <v>54</v>
      </c>
      <c r="AD94" s="133">
        <f t="shared" si="8"/>
        <v>0.60069444444444386</v>
      </c>
      <c r="AE94" s="134">
        <f>AE93</f>
        <v>0.5069444444444442</v>
      </c>
      <c r="AF94" s="134">
        <f>AF93</f>
        <v>0.47569444444444425</v>
      </c>
      <c r="AG94" s="134">
        <f>AG93</f>
        <v>0.46180555555555541</v>
      </c>
      <c r="AH94" s="134">
        <f>AH93</f>
        <v>0.45138888888888878</v>
      </c>
      <c r="AI94" s="134">
        <f>AI93</f>
        <v>0.44444444444444436</v>
      </c>
    </row>
    <row r="95" spans="19:35" ht="18.75" customHeight="1" thickBot="1" x14ac:dyDescent="0.25">
      <c r="T95" s="168"/>
      <c r="U95" s="169"/>
      <c r="V95" s="169"/>
      <c r="W95" s="176"/>
      <c r="AC95" s="129">
        <v>55</v>
      </c>
      <c r="AD95" s="133">
        <f t="shared" si="8"/>
        <v>0.60416666666666607</v>
      </c>
      <c r="AE95" s="134">
        <f>AE94+$AD$36+$AD$37</f>
        <v>0.51041666666666641</v>
      </c>
      <c r="AF95" s="134">
        <f>AF94+$AD$36+$AD$37</f>
        <v>0.47916666666666646</v>
      </c>
      <c r="AG95" s="134">
        <f>AG94</f>
        <v>0.46180555555555541</v>
      </c>
      <c r="AH95" s="134">
        <f>AH94</f>
        <v>0.45138888888888878</v>
      </c>
      <c r="AI95" s="134">
        <f>AI94+$AD$36+$AD$37</f>
        <v>0.44791666666666657</v>
      </c>
    </row>
    <row r="96" spans="19:35" ht="18.75" customHeight="1" x14ac:dyDescent="0.2">
      <c r="S96" s="162" t="str">
        <f>IF(M15="","",UPPER(M15))</f>
        <v>J</v>
      </c>
      <c r="T96" s="170"/>
      <c r="U96" s="171"/>
      <c r="V96" s="171"/>
      <c r="W96" s="174"/>
      <c r="AC96" s="129">
        <v>56</v>
      </c>
      <c r="AD96" s="133">
        <f t="shared" si="8"/>
        <v>0.60763888888888828</v>
      </c>
      <c r="AE96" s="134">
        <f>AE95</f>
        <v>0.51041666666666641</v>
      </c>
      <c r="AF96" s="134">
        <f>AF95</f>
        <v>0.47916666666666646</v>
      </c>
      <c r="AG96" s="134">
        <f>AG95</f>
        <v>0.46180555555555541</v>
      </c>
      <c r="AH96" s="134">
        <f>AH95+$AD$36+$AD$37</f>
        <v>0.45486111111111099</v>
      </c>
      <c r="AI96" s="134">
        <f>AI95</f>
        <v>0.44791666666666657</v>
      </c>
    </row>
    <row r="97" spans="19:35" ht="18.75" customHeight="1" x14ac:dyDescent="0.2">
      <c r="T97" s="166"/>
      <c r="U97" s="167"/>
      <c r="V97" s="167"/>
      <c r="W97" s="175"/>
      <c r="AC97" s="129">
        <v>57</v>
      </c>
      <c r="AD97" s="133">
        <f t="shared" si="8"/>
        <v>0.61111111111111049</v>
      </c>
      <c r="AE97" s="134">
        <f>AE96+$AD$36+$AD$37</f>
        <v>0.51388888888888862</v>
      </c>
      <c r="AF97" s="134">
        <f>AF96</f>
        <v>0.47916666666666646</v>
      </c>
      <c r="AG97" s="134">
        <f>AG96+$AD$36+$AD$37</f>
        <v>0.46527777777777762</v>
      </c>
      <c r="AH97" s="134">
        <f>AH96</f>
        <v>0.45486111111111099</v>
      </c>
      <c r="AI97" s="134">
        <f>AI96</f>
        <v>0.44791666666666657</v>
      </c>
    </row>
    <row r="98" spans="19:35" ht="18.75" customHeight="1" x14ac:dyDescent="0.2">
      <c r="T98" s="166"/>
      <c r="U98" s="167"/>
      <c r="V98" s="167"/>
      <c r="W98" s="175"/>
      <c r="AC98" s="129">
        <v>58</v>
      </c>
      <c r="AD98" s="133">
        <f t="shared" si="8"/>
        <v>0.6145833333333327</v>
      </c>
      <c r="AE98" s="134">
        <f>AE97</f>
        <v>0.51388888888888862</v>
      </c>
      <c r="AF98" s="134">
        <f>AF97+$AD$36+$AD$37</f>
        <v>0.48263888888888867</v>
      </c>
      <c r="AG98" s="134">
        <f>AG97</f>
        <v>0.46527777777777762</v>
      </c>
      <c r="AH98" s="134">
        <f>AH97</f>
        <v>0.45486111111111099</v>
      </c>
      <c r="AI98" s="134">
        <f>AI97</f>
        <v>0.44791666666666657</v>
      </c>
    </row>
    <row r="99" spans="19:35" ht="18.75" customHeight="1" x14ac:dyDescent="0.2">
      <c r="T99" s="166"/>
      <c r="U99" s="167"/>
      <c r="V99" s="167"/>
      <c r="W99" s="175"/>
      <c r="AC99" s="129">
        <v>59</v>
      </c>
      <c r="AD99" s="133">
        <f t="shared" si="8"/>
        <v>0.61805555555555491</v>
      </c>
      <c r="AE99" s="134">
        <f>AE98+$AD$36+$AD$37</f>
        <v>0.51736111111111083</v>
      </c>
      <c r="AF99" s="134">
        <f>AF98</f>
        <v>0.48263888888888867</v>
      </c>
      <c r="AG99" s="134">
        <f>AG98</f>
        <v>0.46527777777777762</v>
      </c>
      <c r="AH99" s="134">
        <f>AH98</f>
        <v>0.45486111111111099</v>
      </c>
      <c r="AI99" s="134">
        <f>AI98</f>
        <v>0.44791666666666657</v>
      </c>
    </row>
    <row r="100" spans="19:35" ht="18.75" customHeight="1" x14ac:dyDescent="0.2">
      <c r="T100" s="166"/>
      <c r="U100" s="167"/>
      <c r="V100" s="167"/>
      <c r="W100" s="175"/>
      <c r="AC100" s="129">
        <v>60</v>
      </c>
      <c r="AD100" s="133">
        <f t="shared" si="8"/>
        <v>0.62152777777777712</v>
      </c>
      <c r="AE100" s="134">
        <f>AE99</f>
        <v>0.51736111111111083</v>
      </c>
      <c r="AF100" s="134">
        <f>AF99</f>
        <v>0.48263888888888867</v>
      </c>
      <c r="AG100" s="134">
        <f>AG99</f>
        <v>0.46527777777777762</v>
      </c>
      <c r="AH100" s="134">
        <f>AH99</f>
        <v>0.45486111111111099</v>
      </c>
      <c r="AI100" s="134">
        <f>AI99</f>
        <v>0.44791666666666657</v>
      </c>
    </row>
    <row r="101" spans="19:35" ht="18.75" customHeight="1" x14ac:dyDescent="0.2">
      <c r="T101" s="166"/>
      <c r="U101" s="167"/>
      <c r="V101" s="167"/>
      <c r="W101" s="175"/>
      <c r="AC101" s="129">
        <v>61</v>
      </c>
      <c r="AD101" s="133">
        <f t="shared" si="8"/>
        <v>0.62499999999999933</v>
      </c>
      <c r="AE101" s="134">
        <f>AE100+$AD$36+$AD$37</f>
        <v>0.52083333333333304</v>
      </c>
      <c r="AF101" s="134">
        <f>AF100+$AD$36+$AD$37</f>
        <v>0.48611111111111088</v>
      </c>
      <c r="AG101" s="134">
        <f>AG100+$AD$36+$AD$37</f>
        <v>0.46874999999999983</v>
      </c>
      <c r="AH101" s="134">
        <f>AH100+$AD$36+$AD$37</f>
        <v>0.4583333333333332</v>
      </c>
      <c r="AI101" s="134">
        <f>AI100+$AD$36+$AD$37</f>
        <v>0.45138888888888878</v>
      </c>
    </row>
    <row r="102" spans="19:35" ht="18.75" customHeight="1" x14ac:dyDescent="0.2">
      <c r="T102" s="166"/>
      <c r="U102" s="167"/>
      <c r="V102" s="167"/>
      <c r="W102" s="175"/>
      <c r="AC102" s="129">
        <v>62</v>
      </c>
      <c r="AD102" s="133">
        <f t="shared" si="8"/>
        <v>0.62847222222222154</v>
      </c>
      <c r="AE102" s="134">
        <f>AE101</f>
        <v>0.52083333333333304</v>
      </c>
      <c r="AF102" s="134">
        <f>AF101</f>
        <v>0.48611111111111088</v>
      </c>
      <c r="AG102" s="134">
        <f>AG101</f>
        <v>0.46874999999999983</v>
      </c>
      <c r="AH102" s="134">
        <f>AH101</f>
        <v>0.4583333333333332</v>
      </c>
      <c r="AI102" s="134">
        <f>AI101</f>
        <v>0.45138888888888878</v>
      </c>
    </row>
    <row r="103" spans="19:35" ht="18.75" customHeight="1" x14ac:dyDescent="0.2">
      <c r="T103" s="166"/>
      <c r="U103" s="167"/>
      <c r="V103" s="167"/>
      <c r="W103" s="175"/>
      <c r="AC103" s="129">
        <v>63</v>
      </c>
      <c r="AD103" s="133">
        <f t="shared" si="8"/>
        <v>0.63194444444444375</v>
      </c>
      <c r="AE103" s="134">
        <f>AE102+$AD$36+$AD$37</f>
        <v>0.52430555555555525</v>
      </c>
      <c r="AF103" s="134">
        <f>AF102</f>
        <v>0.48611111111111088</v>
      </c>
      <c r="AG103" s="134">
        <f>AG102</f>
        <v>0.46874999999999983</v>
      </c>
      <c r="AH103" s="134">
        <f>AH102</f>
        <v>0.4583333333333332</v>
      </c>
      <c r="AI103" s="134">
        <f>AI102</f>
        <v>0.45138888888888878</v>
      </c>
    </row>
    <row r="104" spans="19:35" ht="18.75" customHeight="1" x14ac:dyDescent="0.2">
      <c r="T104" s="166"/>
      <c r="U104" s="167"/>
      <c r="V104" s="167"/>
      <c r="W104" s="175"/>
      <c r="AC104" s="129">
        <v>64</v>
      </c>
      <c r="AD104" s="133">
        <f t="shared" si="8"/>
        <v>0.63541666666666596</v>
      </c>
      <c r="AE104" s="134">
        <f>AE103</f>
        <v>0.52430555555555525</v>
      </c>
      <c r="AF104" s="134">
        <f>AF103+$AD$36+$AD$37</f>
        <v>0.48958333333333309</v>
      </c>
      <c r="AG104" s="134">
        <f>AG103</f>
        <v>0.46874999999999983</v>
      </c>
      <c r="AH104" s="134">
        <f>AH103</f>
        <v>0.4583333333333332</v>
      </c>
      <c r="AI104" s="134">
        <f>AI103</f>
        <v>0.45138888888888878</v>
      </c>
    </row>
    <row r="105" spans="19:35" ht="18.75" customHeight="1" thickBot="1" x14ac:dyDescent="0.25">
      <c r="T105" s="168"/>
      <c r="U105" s="169"/>
      <c r="V105" s="169"/>
      <c r="W105" s="176"/>
      <c r="AC105" s="129">
        <v>65</v>
      </c>
      <c r="AD105" s="133">
        <f t="shared" si="8"/>
        <v>0.63888888888888817</v>
      </c>
      <c r="AE105" s="134">
        <f>AE104+$AD$36+$AD$37</f>
        <v>0.52777777777777746</v>
      </c>
      <c r="AF105" s="134">
        <f>AF104</f>
        <v>0.48958333333333309</v>
      </c>
      <c r="AG105" s="134">
        <f>AG104+$AD$36+$AD$37</f>
        <v>0.47222222222222204</v>
      </c>
      <c r="AH105" s="134">
        <f>AH104</f>
        <v>0.4583333333333332</v>
      </c>
      <c r="AI105" s="134">
        <f>AI104</f>
        <v>0.45138888888888878</v>
      </c>
    </row>
    <row r="106" spans="19:35" ht="18.75" customHeight="1" x14ac:dyDescent="0.2">
      <c r="S106" s="162" t="str">
        <f>IF(M16="","",UPPER(M16))</f>
        <v>K</v>
      </c>
      <c r="T106" s="170"/>
      <c r="U106" s="171"/>
      <c r="V106" s="171"/>
      <c r="W106" s="174"/>
      <c r="AC106" s="129">
        <v>66</v>
      </c>
      <c r="AD106" s="133">
        <f t="shared" ref="AD106:AD137" si="10">AD105+$AD$36+$AD$37</f>
        <v>0.64236111111111038</v>
      </c>
      <c r="AE106" s="134">
        <f>AE105</f>
        <v>0.52777777777777746</v>
      </c>
      <c r="AF106" s="134">
        <f>AF105</f>
        <v>0.48958333333333309</v>
      </c>
      <c r="AG106" s="134">
        <f>AG105</f>
        <v>0.47222222222222204</v>
      </c>
      <c r="AH106" s="134">
        <f>AH105+$AD$36+$AD$37</f>
        <v>0.46180555555555541</v>
      </c>
      <c r="AI106" s="134">
        <f>AI105</f>
        <v>0.45138888888888878</v>
      </c>
    </row>
    <row r="107" spans="19:35" ht="18.75" customHeight="1" x14ac:dyDescent="0.2">
      <c r="T107" s="166"/>
      <c r="U107" s="167"/>
      <c r="V107" s="167"/>
      <c r="W107" s="175"/>
      <c r="AC107" s="129">
        <v>67</v>
      </c>
      <c r="AD107" s="133">
        <f t="shared" si="10"/>
        <v>0.64583333333333259</v>
      </c>
      <c r="AE107" s="134">
        <f>AE106+$AD$36+$AD$37</f>
        <v>0.53124999999999967</v>
      </c>
      <c r="AF107" s="134">
        <f>AF106+$AD$36+$AD$37</f>
        <v>0.4930555555555553</v>
      </c>
      <c r="AG107" s="134">
        <f>AG106</f>
        <v>0.47222222222222204</v>
      </c>
      <c r="AH107" s="134">
        <f>AH106</f>
        <v>0.46180555555555541</v>
      </c>
      <c r="AI107" s="134">
        <f>AI106+$AD$36+$AD$37</f>
        <v>0.45486111111111099</v>
      </c>
    </row>
    <row r="108" spans="19:35" ht="18.75" customHeight="1" x14ac:dyDescent="0.2">
      <c r="T108" s="166"/>
      <c r="U108" s="167"/>
      <c r="V108" s="167"/>
      <c r="W108" s="175"/>
      <c r="AC108" s="129">
        <v>68</v>
      </c>
      <c r="AD108" s="133">
        <f t="shared" si="10"/>
        <v>0.6493055555555548</v>
      </c>
      <c r="AE108" s="134">
        <f>AE107</f>
        <v>0.53124999999999967</v>
      </c>
      <c r="AF108" s="134">
        <f>AF107</f>
        <v>0.4930555555555553</v>
      </c>
      <c r="AG108" s="134">
        <f>AG107</f>
        <v>0.47222222222222204</v>
      </c>
      <c r="AH108" s="134">
        <f>AH107</f>
        <v>0.46180555555555541</v>
      </c>
      <c r="AI108" s="134">
        <f>AI107</f>
        <v>0.45486111111111099</v>
      </c>
    </row>
    <row r="109" spans="19:35" ht="18.75" customHeight="1" x14ac:dyDescent="0.2">
      <c r="T109" s="166"/>
      <c r="U109" s="167"/>
      <c r="V109" s="167"/>
      <c r="W109" s="175"/>
      <c r="AC109" s="129">
        <v>69</v>
      </c>
      <c r="AD109" s="133">
        <f t="shared" si="10"/>
        <v>0.65277777777777701</v>
      </c>
      <c r="AE109" s="134">
        <f>AE108+$AD$36+$AD$37</f>
        <v>0.53472222222222188</v>
      </c>
      <c r="AF109" s="134">
        <f>AF108</f>
        <v>0.4930555555555553</v>
      </c>
      <c r="AG109" s="134">
        <f>AG108+$AD$36+$AD$37</f>
        <v>0.47569444444444425</v>
      </c>
      <c r="AH109" s="134">
        <f>AH108</f>
        <v>0.46180555555555541</v>
      </c>
      <c r="AI109" s="134">
        <f>AI108</f>
        <v>0.45486111111111099</v>
      </c>
    </row>
    <row r="110" spans="19:35" ht="18.75" customHeight="1" x14ac:dyDescent="0.2">
      <c r="T110" s="166"/>
      <c r="U110" s="167"/>
      <c r="V110" s="167"/>
      <c r="W110" s="175"/>
      <c r="AC110" s="129">
        <v>70</v>
      </c>
      <c r="AD110" s="133">
        <f t="shared" si="10"/>
        <v>0.65624999999999922</v>
      </c>
      <c r="AE110" s="134">
        <f>AE109</f>
        <v>0.53472222222222188</v>
      </c>
      <c r="AF110" s="134">
        <f>AF109+$AD$36+$AD$37</f>
        <v>0.49652777777777751</v>
      </c>
      <c r="AG110" s="134">
        <f>AG109</f>
        <v>0.47569444444444425</v>
      </c>
      <c r="AH110" s="134">
        <f>AH109</f>
        <v>0.46180555555555541</v>
      </c>
      <c r="AI110" s="134">
        <f>AI109</f>
        <v>0.45486111111111099</v>
      </c>
    </row>
    <row r="111" spans="19:35" ht="18.75" customHeight="1" x14ac:dyDescent="0.2">
      <c r="T111" s="166"/>
      <c r="U111" s="167"/>
      <c r="V111" s="167"/>
      <c r="W111" s="175"/>
      <c r="AC111" s="129">
        <v>71</v>
      </c>
      <c r="AD111" s="133">
        <f t="shared" si="10"/>
        <v>0.65972222222222143</v>
      </c>
      <c r="AE111" s="134">
        <f>AE110+$AD$36+$AD$37</f>
        <v>0.53819444444444409</v>
      </c>
      <c r="AF111" s="134">
        <f>AF110</f>
        <v>0.49652777777777751</v>
      </c>
      <c r="AG111" s="134">
        <f>AG110</f>
        <v>0.47569444444444425</v>
      </c>
      <c r="AH111" s="134">
        <f>AH110+$AD$36+$AD$37</f>
        <v>0.46527777777777762</v>
      </c>
      <c r="AI111" s="134">
        <f>AI110</f>
        <v>0.45486111111111099</v>
      </c>
    </row>
    <row r="112" spans="19:35" ht="18.75" customHeight="1" x14ac:dyDescent="0.2">
      <c r="T112" s="166"/>
      <c r="U112" s="167"/>
      <c r="V112" s="167"/>
      <c r="W112" s="175"/>
      <c r="AC112" s="129">
        <v>72</v>
      </c>
      <c r="AD112" s="133">
        <f t="shared" si="10"/>
        <v>0.66319444444444364</v>
      </c>
      <c r="AE112" s="134">
        <f>AE111</f>
        <v>0.53819444444444409</v>
      </c>
      <c r="AF112" s="134">
        <f>AF111</f>
        <v>0.49652777777777751</v>
      </c>
      <c r="AG112" s="134">
        <f>AG111</f>
        <v>0.47569444444444425</v>
      </c>
      <c r="AH112" s="134">
        <f>AH111</f>
        <v>0.46527777777777762</v>
      </c>
      <c r="AI112" s="134">
        <f>AI111</f>
        <v>0.45486111111111099</v>
      </c>
    </row>
    <row r="113" spans="19:35" ht="18.75" customHeight="1" x14ac:dyDescent="0.2">
      <c r="T113" s="166"/>
      <c r="U113" s="167"/>
      <c r="V113" s="167"/>
      <c r="W113" s="175"/>
      <c r="AC113" s="129">
        <v>73</v>
      </c>
      <c r="AD113" s="133">
        <f t="shared" si="10"/>
        <v>0.66666666666666585</v>
      </c>
      <c r="AE113" s="134">
        <f>AE112+$AD$36+$AD$37</f>
        <v>0.5416666666666663</v>
      </c>
      <c r="AF113" s="134">
        <f>AF112+$AD$36+$AD$37</f>
        <v>0.49999999999999972</v>
      </c>
      <c r="AG113" s="134">
        <f>AG112+$AD$36+$AD$37</f>
        <v>0.47916666666666646</v>
      </c>
      <c r="AH113" s="134">
        <f>AH112</f>
        <v>0.46527777777777762</v>
      </c>
      <c r="AI113" s="134">
        <f>AI112+$AD$36+$AD$37</f>
        <v>0.4583333333333332</v>
      </c>
    </row>
    <row r="114" spans="19:35" ht="18.75" customHeight="1" x14ac:dyDescent="0.2">
      <c r="T114" s="166"/>
      <c r="U114" s="167"/>
      <c r="V114" s="167"/>
      <c r="W114" s="175"/>
      <c r="AC114" s="129">
        <v>74</v>
      </c>
      <c r="AD114" s="133">
        <f t="shared" si="10"/>
        <v>0.67013888888888806</v>
      </c>
      <c r="AE114" s="134">
        <f>AE113</f>
        <v>0.5416666666666663</v>
      </c>
      <c r="AF114" s="134">
        <f>AF113</f>
        <v>0.49999999999999972</v>
      </c>
      <c r="AG114" s="134">
        <f>AG113</f>
        <v>0.47916666666666646</v>
      </c>
      <c r="AH114" s="134">
        <f>AH113</f>
        <v>0.46527777777777762</v>
      </c>
      <c r="AI114" s="134">
        <f>AI113</f>
        <v>0.4583333333333332</v>
      </c>
    </row>
    <row r="115" spans="19:35" ht="18.75" customHeight="1" thickBot="1" x14ac:dyDescent="0.25">
      <c r="T115" s="168"/>
      <c r="U115" s="169"/>
      <c r="V115" s="169"/>
      <c r="W115" s="176"/>
      <c r="AC115" s="129">
        <v>75</v>
      </c>
      <c r="AD115" s="133">
        <f t="shared" si="10"/>
        <v>0.67361111111111027</v>
      </c>
      <c r="AE115" s="134">
        <f>AE114+$AD$36+$AD$37</f>
        <v>0.54513888888888851</v>
      </c>
      <c r="AF115" s="134">
        <f>AF114</f>
        <v>0.49999999999999972</v>
      </c>
      <c r="AG115" s="134">
        <f>AG114</f>
        <v>0.47916666666666646</v>
      </c>
      <c r="AH115" s="134">
        <f>AH114</f>
        <v>0.46527777777777762</v>
      </c>
      <c r="AI115" s="134">
        <f>AI114</f>
        <v>0.4583333333333332</v>
      </c>
    </row>
    <row r="116" spans="19:35" ht="18.75" customHeight="1" x14ac:dyDescent="0.2">
      <c r="S116" s="162" t="str">
        <f>IF(M17="","",UPPER(M17))</f>
        <v>L</v>
      </c>
      <c r="T116" s="170"/>
      <c r="U116" s="171"/>
      <c r="V116" s="171"/>
      <c r="W116" s="174"/>
      <c r="AC116" s="129">
        <v>76</v>
      </c>
      <c r="AD116" s="133">
        <f t="shared" si="10"/>
        <v>0.67708333333333248</v>
      </c>
      <c r="AE116" s="134">
        <f>AE115</f>
        <v>0.54513888888888851</v>
      </c>
      <c r="AF116" s="134">
        <f>AF115+$AD$36+$AD$37</f>
        <v>0.50347222222222199</v>
      </c>
      <c r="AG116" s="134">
        <f>AG115</f>
        <v>0.47916666666666646</v>
      </c>
      <c r="AH116" s="134">
        <f>AH115+$AD$36+$AD$37</f>
        <v>0.46874999999999983</v>
      </c>
      <c r="AI116" s="134">
        <f>AI115</f>
        <v>0.4583333333333332</v>
      </c>
    </row>
    <row r="117" spans="19:35" ht="18.75" customHeight="1" x14ac:dyDescent="0.2">
      <c r="T117" s="166"/>
      <c r="U117" s="167"/>
      <c r="V117" s="167"/>
      <c r="W117" s="175"/>
      <c r="AC117" s="129">
        <v>77</v>
      </c>
      <c r="AD117" s="133">
        <f t="shared" si="10"/>
        <v>0.68055555555555469</v>
      </c>
      <c r="AE117" s="134">
        <f>AE116+$AD$36+$AD$37</f>
        <v>0.54861111111111072</v>
      </c>
      <c r="AF117" s="134">
        <f>AF116</f>
        <v>0.50347222222222199</v>
      </c>
      <c r="AG117" s="134">
        <f>AG116+$AD$36+$AD$37</f>
        <v>0.48263888888888867</v>
      </c>
      <c r="AH117" s="134">
        <f>AH116</f>
        <v>0.46874999999999983</v>
      </c>
      <c r="AI117" s="134">
        <f>AI116</f>
        <v>0.4583333333333332</v>
      </c>
    </row>
    <row r="118" spans="19:35" ht="18.75" customHeight="1" x14ac:dyDescent="0.2">
      <c r="T118" s="166"/>
      <c r="U118" s="167"/>
      <c r="V118" s="167"/>
      <c r="W118" s="175"/>
      <c r="AC118" s="129">
        <v>78</v>
      </c>
      <c r="AD118" s="133">
        <f t="shared" si="10"/>
        <v>0.6840277777777769</v>
      </c>
      <c r="AE118" s="134">
        <f>AE117</f>
        <v>0.54861111111111072</v>
      </c>
      <c r="AF118" s="134">
        <f>AF117</f>
        <v>0.50347222222222199</v>
      </c>
      <c r="AG118" s="134">
        <f>AG117</f>
        <v>0.48263888888888867</v>
      </c>
      <c r="AH118" s="134">
        <f>AH117</f>
        <v>0.46874999999999983</v>
      </c>
      <c r="AI118" s="134">
        <f>AI117</f>
        <v>0.4583333333333332</v>
      </c>
    </row>
    <row r="119" spans="19:35" ht="18.75" customHeight="1" x14ac:dyDescent="0.2">
      <c r="T119" s="166"/>
      <c r="U119" s="167"/>
      <c r="V119" s="167"/>
      <c r="W119" s="175"/>
      <c r="AC119" s="129">
        <v>79</v>
      </c>
      <c r="AD119" s="133">
        <f t="shared" si="10"/>
        <v>0.68749999999999911</v>
      </c>
      <c r="AE119" s="134">
        <f>AE118+$AD$36+$AD$37</f>
        <v>0.55208333333333293</v>
      </c>
      <c r="AF119" s="134">
        <f>AF118+$AD$36+$AD$37</f>
        <v>0.5069444444444442</v>
      </c>
      <c r="AG119" s="134">
        <f>AG118</f>
        <v>0.48263888888888867</v>
      </c>
      <c r="AH119" s="134">
        <f>AH118</f>
        <v>0.46874999999999983</v>
      </c>
      <c r="AI119" s="134">
        <f>AI118+$AD$36+$AD$37</f>
        <v>0.46180555555555541</v>
      </c>
    </row>
    <row r="120" spans="19:35" ht="18.75" customHeight="1" x14ac:dyDescent="0.2">
      <c r="T120" s="166"/>
      <c r="U120" s="167"/>
      <c r="V120" s="167"/>
      <c r="W120" s="175"/>
      <c r="AC120" s="129">
        <v>80</v>
      </c>
      <c r="AD120" s="133">
        <f t="shared" si="10"/>
        <v>0.69097222222222132</v>
      </c>
      <c r="AE120" s="134">
        <f>AE119</f>
        <v>0.55208333333333293</v>
      </c>
      <c r="AF120" s="134">
        <f>AF119</f>
        <v>0.5069444444444442</v>
      </c>
      <c r="AG120" s="134">
        <f>AG119</f>
        <v>0.48263888888888867</v>
      </c>
      <c r="AH120" s="134">
        <f>AH119</f>
        <v>0.46874999999999983</v>
      </c>
      <c r="AI120" s="134">
        <f>AI119</f>
        <v>0.46180555555555541</v>
      </c>
    </row>
    <row r="121" spans="19:35" ht="18.75" customHeight="1" x14ac:dyDescent="0.2">
      <c r="T121" s="166"/>
      <c r="U121" s="167"/>
      <c r="V121" s="167"/>
      <c r="W121" s="175"/>
      <c r="AC121" s="129">
        <v>81</v>
      </c>
      <c r="AD121" s="133">
        <f t="shared" si="10"/>
        <v>0.69444444444444353</v>
      </c>
      <c r="AE121" s="134">
        <f>AE120+$AD$36+$AD$37</f>
        <v>0.55555555555555514</v>
      </c>
      <c r="AF121" s="134">
        <f>AF120</f>
        <v>0.5069444444444442</v>
      </c>
      <c r="AG121" s="134">
        <f>AG120+$AD$36+$AD$37</f>
        <v>0.48611111111111088</v>
      </c>
      <c r="AH121" s="134">
        <f>AH120+$AD$36+$AD$37</f>
        <v>0.47222222222222204</v>
      </c>
      <c r="AI121" s="134">
        <f>AI120</f>
        <v>0.46180555555555541</v>
      </c>
    </row>
    <row r="122" spans="19:35" ht="18.75" customHeight="1" x14ac:dyDescent="0.2">
      <c r="T122" s="166"/>
      <c r="U122" s="167"/>
      <c r="V122" s="167"/>
      <c r="W122" s="175"/>
      <c r="AC122" s="129">
        <v>82</v>
      </c>
      <c r="AD122" s="133">
        <f t="shared" si="10"/>
        <v>0.69791666666666574</v>
      </c>
      <c r="AE122" s="134">
        <f>AE121</f>
        <v>0.55555555555555514</v>
      </c>
      <c r="AF122" s="134">
        <f>AF121+$AD$36+$AD$37</f>
        <v>0.51041666666666641</v>
      </c>
      <c r="AG122" s="134">
        <f t="shared" ref="AG122:AH124" si="11">AG121</f>
        <v>0.48611111111111088</v>
      </c>
      <c r="AH122" s="134">
        <f t="shared" si="11"/>
        <v>0.47222222222222204</v>
      </c>
      <c r="AI122" s="134">
        <f>AI121</f>
        <v>0.46180555555555541</v>
      </c>
    </row>
    <row r="123" spans="19:35" ht="18.75" customHeight="1" x14ac:dyDescent="0.2">
      <c r="T123" s="166"/>
      <c r="U123" s="167"/>
      <c r="V123" s="167"/>
      <c r="W123" s="175"/>
      <c r="AC123" s="129">
        <v>83</v>
      </c>
      <c r="AD123" s="133">
        <f t="shared" si="10"/>
        <v>0.70138888888888795</v>
      </c>
      <c r="AE123" s="134">
        <f>AE122+$AD$36+$AD$37</f>
        <v>0.55902777777777735</v>
      </c>
      <c r="AF123" s="134">
        <f>AF122</f>
        <v>0.51041666666666641</v>
      </c>
      <c r="AG123" s="134">
        <f t="shared" si="11"/>
        <v>0.48611111111111088</v>
      </c>
      <c r="AH123" s="134">
        <f t="shared" si="11"/>
        <v>0.47222222222222204</v>
      </c>
      <c r="AI123" s="134">
        <f>AI122</f>
        <v>0.46180555555555541</v>
      </c>
    </row>
    <row r="124" spans="19:35" ht="18.75" customHeight="1" x14ac:dyDescent="0.2">
      <c r="T124" s="166"/>
      <c r="U124" s="167"/>
      <c r="V124" s="167"/>
      <c r="W124" s="175"/>
      <c r="AC124" s="129">
        <v>84</v>
      </c>
      <c r="AD124" s="133">
        <f t="shared" si="10"/>
        <v>0.70486111111111016</v>
      </c>
      <c r="AE124" s="134">
        <f>AE123</f>
        <v>0.55902777777777735</v>
      </c>
      <c r="AF124" s="134">
        <f>AF123</f>
        <v>0.51041666666666641</v>
      </c>
      <c r="AG124" s="134">
        <f t="shared" si="11"/>
        <v>0.48611111111111088</v>
      </c>
      <c r="AH124" s="134">
        <f t="shared" si="11"/>
        <v>0.47222222222222204</v>
      </c>
      <c r="AI124" s="134">
        <f>AI123</f>
        <v>0.46180555555555541</v>
      </c>
    </row>
    <row r="125" spans="19:35" ht="18.75" customHeight="1" thickBot="1" x14ac:dyDescent="0.25">
      <c r="T125" s="168"/>
      <c r="U125" s="169"/>
      <c r="V125" s="169"/>
      <c r="W125" s="176"/>
      <c r="AC125" s="129">
        <v>85</v>
      </c>
      <c r="AD125" s="133">
        <f t="shared" si="10"/>
        <v>0.70833333333333237</v>
      </c>
      <c r="AE125" s="134">
        <f>AE124+$AD$36+$AD$37</f>
        <v>0.56249999999999956</v>
      </c>
      <c r="AF125" s="134">
        <f>AF124+$AD$36+$AD$37</f>
        <v>0.51388888888888862</v>
      </c>
      <c r="AG125" s="134">
        <f>AG124+$AD$36+$AD$37</f>
        <v>0.48958333333333309</v>
      </c>
      <c r="AH125" s="134">
        <f>AH124</f>
        <v>0.47222222222222204</v>
      </c>
      <c r="AI125" s="134">
        <f>AI124+$AD$36+$AD$37</f>
        <v>0.46527777777777762</v>
      </c>
    </row>
    <row r="126" spans="19:35" ht="18.75" customHeight="1" x14ac:dyDescent="0.2">
      <c r="S126" s="162" t="str">
        <f>IF(M18="","",UPPER(M18))</f>
        <v>M</v>
      </c>
      <c r="T126" s="170"/>
      <c r="U126" s="171"/>
      <c r="V126" s="171"/>
      <c r="W126" s="174"/>
      <c r="AC126" s="129">
        <v>86</v>
      </c>
      <c r="AD126" s="133">
        <f t="shared" si="10"/>
        <v>0.71180555555555458</v>
      </c>
      <c r="AE126" s="134">
        <f>AE125</f>
        <v>0.56249999999999956</v>
      </c>
      <c r="AF126" s="134">
        <f>AF125</f>
        <v>0.51388888888888862</v>
      </c>
      <c r="AG126" s="134">
        <f>AG125</f>
        <v>0.48958333333333309</v>
      </c>
      <c r="AH126" s="134">
        <f>AH125+$AD$36+$AD$37</f>
        <v>0.47569444444444425</v>
      </c>
      <c r="AI126" s="134">
        <f>AI125</f>
        <v>0.46527777777777762</v>
      </c>
    </row>
    <row r="127" spans="19:35" ht="18.75" customHeight="1" x14ac:dyDescent="0.2">
      <c r="T127" s="166"/>
      <c r="U127" s="167"/>
      <c r="V127" s="167"/>
      <c r="W127" s="175"/>
      <c r="AC127" s="129">
        <v>87</v>
      </c>
      <c r="AD127" s="133">
        <f t="shared" si="10"/>
        <v>0.71527777777777679</v>
      </c>
      <c r="AE127" s="134">
        <f>AE126+$AD$36+$AD$37</f>
        <v>0.56597222222222177</v>
      </c>
      <c r="AF127" s="134">
        <f>AF126</f>
        <v>0.51388888888888862</v>
      </c>
      <c r="AG127" s="134">
        <f>AG126</f>
        <v>0.48958333333333309</v>
      </c>
      <c r="AH127" s="134">
        <f>AH126</f>
        <v>0.47569444444444425</v>
      </c>
      <c r="AI127" s="134">
        <f>AI126</f>
        <v>0.46527777777777762</v>
      </c>
    </row>
    <row r="128" spans="19:35" ht="18.75" customHeight="1" x14ac:dyDescent="0.2">
      <c r="T128" s="166"/>
      <c r="U128" s="167"/>
      <c r="V128" s="167"/>
      <c r="W128" s="175"/>
      <c r="AC128" s="129">
        <v>88</v>
      </c>
      <c r="AD128" s="133">
        <f t="shared" si="10"/>
        <v>0.718749999999999</v>
      </c>
      <c r="AE128" s="134">
        <f>AE127</f>
        <v>0.56597222222222177</v>
      </c>
      <c r="AF128" s="134">
        <f>AF127+$AD$36+$AD$37</f>
        <v>0.51736111111111083</v>
      </c>
      <c r="AG128" s="134">
        <f>AG127</f>
        <v>0.48958333333333309</v>
      </c>
      <c r="AH128" s="134">
        <f>AH127</f>
        <v>0.47569444444444425</v>
      </c>
      <c r="AI128" s="134">
        <f>AI127</f>
        <v>0.46527777777777762</v>
      </c>
    </row>
    <row r="129" spans="19:35" ht="18.75" customHeight="1" x14ac:dyDescent="0.2">
      <c r="T129" s="166"/>
      <c r="U129" s="167"/>
      <c r="V129" s="167"/>
      <c r="W129" s="175"/>
      <c r="AC129" s="129">
        <v>89</v>
      </c>
      <c r="AD129" s="133">
        <f t="shared" si="10"/>
        <v>0.72222222222222121</v>
      </c>
      <c r="AE129" s="134">
        <f>AE128+$AD$36+$AD$37</f>
        <v>0.56944444444444398</v>
      </c>
      <c r="AF129" s="134">
        <f>AF128</f>
        <v>0.51736111111111083</v>
      </c>
      <c r="AG129" s="134">
        <f>AG128+$AD$36+$AD$37</f>
        <v>0.4930555555555553</v>
      </c>
      <c r="AH129" s="134">
        <f>AH128</f>
        <v>0.47569444444444425</v>
      </c>
      <c r="AI129" s="134">
        <f>AI128</f>
        <v>0.46527777777777762</v>
      </c>
    </row>
    <row r="130" spans="19:35" ht="18.75" customHeight="1" x14ac:dyDescent="0.2">
      <c r="T130" s="166"/>
      <c r="U130" s="167"/>
      <c r="V130" s="167"/>
      <c r="W130" s="175"/>
      <c r="AC130" s="129">
        <v>90</v>
      </c>
      <c r="AD130" s="133">
        <f t="shared" si="10"/>
        <v>0.72569444444444342</v>
      </c>
      <c r="AE130" s="134">
        <f>AE129</f>
        <v>0.56944444444444398</v>
      </c>
      <c r="AF130" s="134">
        <f>AF129</f>
        <v>0.51736111111111083</v>
      </c>
      <c r="AG130" s="134">
        <f>AG129</f>
        <v>0.4930555555555553</v>
      </c>
      <c r="AH130" s="134">
        <f>AH129</f>
        <v>0.47569444444444425</v>
      </c>
      <c r="AI130" s="134">
        <f>AI129</f>
        <v>0.46527777777777762</v>
      </c>
    </row>
    <row r="131" spans="19:35" ht="18.75" customHeight="1" x14ac:dyDescent="0.2">
      <c r="T131" s="166"/>
      <c r="U131" s="167"/>
      <c r="V131" s="167"/>
      <c r="W131" s="175"/>
      <c r="AC131" s="129">
        <v>91</v>
      </c>
      <c r="AD131" s="133">
        <f t="shared" si="10"/>
        <v>0.72916666666666563</v>
      </c>
      <c r="AE131" s="134">
        <f>AE130+$AD$36+$AD$37</f>
        <v>0.57291666666666619</v>
      </c>
      <c r="AF131" s="134">
        <f>AF130+$AD$36+$AD$37</f>
        <v>0.52083333333333304</v>
      </c>
      <c r="AG131" s="134">
        <f>AG130</f>
        <v>0.4930555555555553</v>
      </c>
      <c r="AH131" s="134">
        <f>AH130+$AD$36+$AD$37</f>
        <v>0.47916666666666646</v>
      </c>
      <c r="AI131" s="134">
        <f>AI130+$AD$36+$AD$37</f>
        <v>0.46874999999999983</v>
      </c>
    </row>
    <row r="132" spans="19:35" ht="18.75" customHeight="1" x14ac:dyDescent="0.2">
      <c r="T132" s="166"/>
      <c r="U132" s="167"/>
      <c r="V132" s="167"/>
      <c r="W132" s="175"/>
      <c r="AC132" s="129">
        <v>92</v>
      </c>
      <c r="AD132" s="133">
        <f t="shared" si="10"/>
        <v>0.73263888888888784</v>
      </c>
      <c r="AE132" s="134">
        <f>AE131</f>
        <v>0.57291666666666619</v>
      </c>
      <c r="AF132" s="134">
        <f>AF131</f>
        <v>0.52083333333333304</v>
      </c>
      <c r="AG132" s="134">
        <f>AG131</f>
        <v>0.4930555555555553</v>
      </c>
      <c r="AH132" s="134">
        <f t="shared" ref="AH132:AI135" si="12">AH131</f>
        <v>0.47916666666666646</v>
      </c>
      <c r="AI132" s="134">
        <f t="shared" si="12"/>
        <v>0.46874999999999983</v>
      </c>
    </row>
    <row r="133" spans="19:35" ht="18.75" customHeight="1" x14ac:dyDescent="0.2">
      <c r="T133" s="166"/>
      <c r="U133" s="167"/>
      <c r="V133" s="167"/>
      <c r="W133" s="175"/>
      <c r="AC133" s="129">
        <v>93</v>
      </c>
      <c r="AD133" s="133">
        <f t="shared" si="10"/>
        <v>0.73611111111111005</v>
      </c>
      <c r="AE133" s="134">
        <f>AE132+$AD$36+$AD$37</f>
        <v>0.5763888888888884</v>
      </c>
      <c r="AF133" s="134">
        <f>AF132</f>
        <v>0.52083333333333304</v>
      </c>
      <c r="AG133" s="134">
        <f>AG132+$AD$36+$AD$37</f>
        <v>0.49652777777777751</v>
      </c>
      <c r="AH133" s="134">
        <f t="shared" si="12"/>
        <v>0.47916666666666646</v>
      </c>
      <c r="AI133" s="134">
        <f t="shared" si="12"/>
        <v>0.46874999999999983</v>
      </c>
    </row>
    <row r="134" spans="19:35" ht="18.75" customHeight="1" x14ac:dyDescent="0.2">
      <c r="T134" s="166"/>
      <c r="U134" s="167"/>
      <c r="V134" s="167"/>
      <c r="W134" s="175"/>
      <c r="AC134" s="129">
        <v>94</v>
      </c>
      <c r="AD134" s="133">
        <f t="shared" si="10"/>
        <v>0.73958333333333226</v>
      </c>
      <c r="AE134" s="134">
        <f>AE133</f>
        <v>0.5763888888888884</v>
      </c>
      <c r="AF134" s="134">
        <f>AF133+$AD$36+$AD$37</f>
        <v>0.52430555555555525</v>
      </c>
      <c r="AG134" s="134">
        <f>AG133</f>
        <v>0.49652777777777751</v>
      </c>
      <c r="AH134" s="134">
        <f t="shared" si="12"/>
        <v>0.47916666666666646</v>
      </c>
      <c r="AI134" s="134">
        <f t="shared" si="12"/>
        <v>0.46874999999999983</v>
      </c>
    </row>
    <row r="135" spans="19:35" ht="18.75" customHeight="1" thickBot="1" x14ac:dyDescent="0.25">
      <c r="T135" s="168"/>
      <c r="U135" s="169"/>
      <c r="V135" s="169"/>
      <c r="W135" s="176"/>
      <c r="AC135" s="129">
        <v>95</v>
      </c>
      <c r="AD135" s="133">
        <f t="shared" si="10"/>
        <v>0.74305555555555447</v>
      </c>
      <c r="AE135" s="134">
        <f>AE134+$AD$36+$AD$37</f>
        <v>0.57986111111111061</v>
      </c>
      <c r="AF135" s="134">
        <f>AF134</f>
        <v>0.52430555555555525</v>
      </c>
      <c r="AG135" s="134">
        <f>AG134</f>
        <v>0.49652777777777751</v>
      </c>
      <c r="AH135" s="134">
        <f t="shared" si="12"/>
        <v>0.47916666666666646</v>
      </c>
      <c r="AI135" s="134">
        <f t="shared" si="12"/>
        <v>0.46874999999999983</v>
      </c>
    </row>
    <row r="136" spans="19:35" ht="18.75" customHeight="1" x14ac:dyDescent="0.2">
      <c r="S136" s="162" t="str">
        <f>IF(M19="","",UPPER(M19))</f>
        <v>N</v>
      </c>
      <c r="T136" s="170"/>
      <c r="U136" s="171"/>
      <c r="V136" s="171"/>
      <c r="W136" s="174"/>
      <c r="AC136" s="129">
        <v>96</v>
      </c>
      <c r="AD136" s="133">
        <f t="shared" si="10"/>
        <v>0.74652777777777668</v>
      </c>
      <c r="AE136" s="134">
        <f>AE135</f>
        <v>0.57986111111111061</v>
      </c>
      <c r="AF136" s="134">
        <f>AF135</f>
        <v>0.52430555555555525</v>
      </c>
      <c r="AG136" s="134">
        <f>AG135</f>
        <v>0.49652777777777751</v>
      </c>
      <c r="AH136" s="134">
        <f>AH135+$AD$36+$AD$37</f>
        <v>0.48263888888888867</v>
      </c>
      <c r="AI136" s="134">
        <f>AI135</f>
        <v>0.46874999999999983</v>
      </c>
    </row>
    <row r="137" spans="19:35" ht="18.75" customHeight="1" x14ac:dyDescent="0.2">
      <c r="T137" s="166"/>
      <c r="U137" s="167"/>
      <c r="V137" s="167"/>
      <c r="W137" s="175"/>
      <c r="AC137" s="129">
        <v>97</v>
      </c>
      <c r="AD137" s="133">
        <f t="shared" si="10"/>
        <v>0.74999999999999889</v>
      </c>
      <c r="AE137" s="134">
        <f>AE136+$AD$36+$AD$37</f>
        <v>0.58333333333333282</v>
      </c>
      <c r="AF137" s="134">
        <f>AF136+$AD$36+$AD$37</f>
        <v>0.52777777777777746</v>
      </c>
      <c r="AG137" s="134">
        <f>AG136+$AD$36+$AD$37</f>
        <v>0.49999999999999972</v>
      </c>
      <c r="AH137" s="134">
        <f>AH136</f>
        <v>0.48263888888888867</v>
      </c>
      <c r="AI137" s="134">
        <f>AI136+$AD$36+$AD$37</f>
        <v>0.47222222222222204</v>
      </c>
    </row>
    <row r="138" spans="19:35" ht="18.75" customHeight="1" x14ac:dyDescent="0.2">
      <c r="T138" s="166"/>
      <c r="U138" s="167"/>
      <c r="V138" s="167"/>
      <c r="W138" s="175"/>
      <c r="AC138" s="129">
        <v>98</v>
      </c>
      <c r="AD138" s="133">
        <f t="shared" ref="AD138:AD146" si="13">AD137+$AD$36+$AD$37</f>
        <v>0.7534722222222211</v>
      </c>
      <c r="AE138" s="134">
        <f>AE137</f>
        <v>0.58333333333333282</v>
      </c>
      <c r="AF138" s="134">
        <f>AF137</f>
        <v>0.52777777777777746</v>
      </c>
      <c r="AG138" s="134">
        <f>AG137</f>
        <v>0.49999999999999972</v>
      </c>
      <c r="AH138" s="134">
        <f>AH137</f>
        <v>0.48263888888888867</v>
      </c>
      <c r="AI138" s="134">
        <f>AI137</f>
        <v>0.47222222222222204</v>
      </c>
    </row>
    <row r="139" spans="19:35" ht="18.75" customHeight="1" x14ac:dyDescent="0.2">
      <c r="T139" s="166"/>
      <c r="U139" s="167"/>
      <c r="V139" s="167"/>
      <c r="W139" s="175"/>
      <c r="AC139" s="129">
        <v>99</v>
      </c>
      <c r="AD139" s="133">
        <f t="shared" si="13"/>
        <v>0.75694444444444331</v>
      </c>
      <c r="AE139" s="134">
        <f>AE138+$AD$36+$AD$37</f>
        <v>0.58680555555555503</v>
      </c>
      <c r="AF139" s="134">
        <f>AF138</f>
        <v>0.52777777777777746</v>
      </c>
      <c r="AG139" s="134">
        <f>AG138</f>
        <v>0.49999999999999972</v>
      </c>
      <c r="AH139" s="134">
        <f>AH138</f>
        <v>0.48263888888888867</v>
      </c>
      <c r="AI139" s="134">
        <f>AI138</f>
        <v>0.47222222222222204</v>
      </c>
    </row>
    <row r="140" spans="19:35" ht="18.75" customHeight="1" x14ac:dyDescent="0.2">
      <c r="T140" s="166"/>
      <c r="U140" s="167"/>
      <c r="V140" s="167"/>
      <c r="W140" s="175"/>
      <c r="AC140" s="129">
        <v>100</v>
      </c>
      <c r="AD140" s="133">
        <f t="shared" si="13"/>
        <v>0.76041666666666552</v>
      </c>
      <c r="AE140" s="134">
        <f>AE139</f>
        <v>0.58680555555555503</v>
      </c>
      <c r="AF140" s="134">
        <f>AF139+$AD$36+$AD$37</f>
        <v>0.53124999999999967</v>
      </c>
      <c r="AG140" s="134">
        <f>AG139</f>
        <v>0.49999999999999972</v>
      </c>
      <c r="AH140" s="134">
        <f>AH139</f>
        <v>0.48263888888888867</v>
      </c>
      <c r="AI140" s="134">
        <f>AI139</f>
        <v>0.47222222222222204</v>
      </c>
    </row>
    <row r="141" spans="19:35" ht="18.75" customHeight="1" x14ac:dyDescent="0.2">
      <c r="T141" s="166"/>
      <c r="U141" s="167"/>
      <c r="V141" s="167"/>
      <c r="W141" s="175"/>
      <c r="AC141" s="129">
        <v>101</v>
      </c>
      <c r="AD141" s="133">
        <f t="shared" si="13"/>
        <v>0.76388888888888773</v>
      </c>
      <c r="AE141" s="134">
        <f>AE140+$AD$36+$AD$37</f>
        <v>0.59027777777777724</v>
      </c>
      <c r="AF141" s="134">
        <f>AF140</f>
        <v>0.53124999999999967</v>
      </c>
      <c r="AG141" s="134">
        <f>AG140+$AD$36+$AD$37</f>
        <v>0.50347222222222199</v>
      </c>
      <c r="AH141" s="134">
        <f>AH140+$AD$36+$AD$37</f>
        <v>0.48611111111111088</v>
      </c>
      <c r="AI141" s="134">
        <f>AI140</f>
        <v>0.47222222222222204</v>
      </c>
    </row>
    <row r="142" spans="19:35" ht="18.75" customHeight="1" x14ac:dyDescent="0.2">
      <c r="T142" s="166"/>
      <c r="U142" s="167"/>
      <c r="V142" s="167"/>
      <c r="W142" s="175"/>
      <c r="AC142" s="129">
        <v>102</v>
      </c>
      <c r="AD142" s="133">
        <f t="shared" si="13"/>
        <v>0.76736111111110994</v>
      </c>
      <c r="AE142" s="134">
        <f>AE141</f>
        <v>0.59027777777777724</v>
      </c>
      <c r="AF142" s="134">
        <f>AF141</f>
        <v>0.53124999999999967</v>
      </c>
      <c r="AG142" s="134">
        <f t="shared" ref="AG142:AH144" si="14">AG141</f>
        <v>0.50347222222222199</v>
      </c>
      <c r="AH142" s="134">
        <f t="shared" si="14"/>
        <v>0.48611111111111088</v>
      </c>
      <c r="AI142" s="134">
        <f>AI141</f>
        <v>0.47222222222222204</v>
      </c>
    </row>
    <row r="143" spans="19:35" ht="18.75" customHeight="1" x14ac:dyDescent="0.2">
      <c r="T143" s="166"/>
      <c r="U143" s="167"/>
      <c r="V143" s="167"/>
      <c r="W143" s="175"/>
      <c r="AC143" s="129">
        <v>103</v>
      </c>
      <c r="AD143" s="133">
        <f t="shared" si="13"/>
        <v>0.77083333333333215</v>
      </c>
      <c r="AE143" s="134">
        <f>AE142+$AD$36+$AD$37</f>
        <v>0.59374999999999944</v>
      </c>
      <c r="AF143" s="134">
        <f>AF142+$AD$36+$AD$37</f>
        <v>0.53472222222222188</v>
      </c>
      <c r="AG143" s="134">
        <f t="shared" si="14"/>
        <v>0.50347222222222199</v>
      </c>
      <c r="AH143" s="134">
        <f t="shared" si="14"/>
        <v>0.48611111111111088</v>
      </c>
      <c r="AI143" s="134"/>
    </row>
    <row r="144" spans="19:35" ht="18.75" customHeight="1" x14ac:dyDescent="0.2">
      <c r="T144" s="166"/>
      <c r="U144" s="167"/>
      <c r="V144" s="167"/>
      <c r="W144" s="175"/>
      <c r="AC144" s="129">
        <v>104</v>
      </c>
      <c r="AD144" s="133">
        <f t="shared" si="13"/>
        <v>0.77430555555555436</v>
      </c>
      <c r="AE144" s="134">
        <f>AE143</f>
        <v>0.59374999999999944</v>
      </c>
      <c r="AF144" s="134">
        <f>AF143</f>
        <v>0.53472222222222188</v>
      </c>
      <c r="AG144" s="134">
        <f t="shared" si="14"/>
        <v>0.50347222222222199</v>
      </c>
      <c r="AH144" s="134">
        <f t="shared" si="14"/>
        <v>0.48611111111111088</v>
      </c>
      <c r="AI144" s="134"/>
    </row>
    <row r="145" spans="19:35" ht="18.75" customHeight="1" thickBot="1" x14ac:dyDescent="0.25">
      <c r="T145" s="168"/>
      <c r="U145" s="169"/>
      <c r="V145" s="169"/>
      <c r="W145" s="176"/>
      <c r="AC145" s="129">
        <v>105</v>
      </c>
      <c r="AD145" s="133">
        <f t="shared" si="13"/>
        <v>0.77777777777777657</v>
      </c>
      <c r="AE145" s="134">
        <f>AE144+$AD$36+$AD$37</f>
        <v>0.59722222222222165</v>
      </c>
      <c r="AF145" s="134">
        <f>AF144</f>
        <v>0.53472222222222188</v>
      </c>
      <c r="AG145" s="134"/>
      <c r="AH145" s="134">
        <f>AH144</f>
        <v>0.48611111111111088</v>
      </c>
      <c r="AI145" s="134"/>
    </row>
    <row r="146" spans="19:35" ht="18.75" customHeight="1" x14ac:dyDescent="0.2">
      <c r="S146" s="162" t="str">
        <f>IF(M20="","",UPPER(M20))</f>
        <v>O</v>
      </c>
      <c r="T146" s="170"/>
      <c r="U146" s="171"/>
      <c r="V146" s="171"/>
      <c r="W146" s="174"/>
      <c r="AC146" s="129">
        <v>106</v>
      </c>
      <c r="AD146" s="133">
        <f t="shared" si="13"/>
        <v>0.78124999999999878</v>
      </c>
      <c r="AE146" s="134">
        <f>AE145</f>
        <v>0.59722222222222165</v>
      </c>
      <c r="AF146" s="125"/>
      <c r="AG146" s="134"/>
      <c r="AH146" s="125"/>
      <c r="AI146" s="134"/>
    </row>
    <row r="147" spans="19:35" ht="18.75" customHeight="1" x14ac:dyDescent="0.2">
      <c r="T147" s="166"/>
      <c r="U147" s="167"/>
      <c r="V147" s="167"/>
      <c r="W147" s="175"/>
      <c r="AC147" s="112"/>
      <c r="AD147" s="112"/>
      <c r="AE147" s="112"/>
      <c r="AF147" s="112"/>
      <c r="AG147" s="112"/>
      <c r="AH147" s="112"/>
      <c r="AI147" s="112"/>
    </row>
    <row r="148" spans="19:35" ht="18.75" customHeight="1" x14ac:dyDescent="0.2">
      <c r="T148" s="166"/>
      <c r="U148" s="167"/>
      <c r="V148" s="167"/>
      <c r="W148" s="175"/>
      <c r="X148" s="297"/>
      <c r="Y148" s="298"/>
      <c r="Z148" s="298"/>
    </row>
    <row r="149" spans="19:35" ht="18.75" customHeight="1" x14ac:dyDescent="0.2">
      <c r="T149" s="166"/>
      <c r="U149" s="167"/>
      <c r="V149" s="167"/>
      <c r="W149" s="175"/>
      <c r="X149" s="297"/>
      <c r="Y149" s="298"/>
      <c r="Z149" s="298"/>
    </row>
    <row r="150" spans="19:35" ht="18.75" customHeight="1" x14ac:dyDescent="0.2">
      <c r="T150" s="166"/>
      <c r="U150" s="167"/>
      <c r="V150" s="167"/>
      <c r="W150" s="175"/>
      <c r="X150" s="297"/>
      <c r="Y150" s="298"/>
      <c r="Z150" s="298"/>
    </row>
    <row r="151" spans="19:35" ht="18.75" customHeight="1" x14ac:dyDescent="0.2">
      <c r="T151" s="166"/>
      <c r="U151" s="167"/>
      <c r="V151" s="167"/>
      <c r="W151" s="175"/>
      <c r="X151" s="297"/>
      <c r="Y151" s="298"/>
      <c r="Z151" s="298"/>
    </row>
    <row r="152" spans="19:35" ht="18.75" customHeight="1" x14ac:dyDescent="0.2">
      <c r="T152" s="166"/>
      <c r="U152" s="167"/>
      <c r="V152" s="167"/>
      <c r="W152" s="175"/>
      <c r="X152" s="297"/>
      <c r="Y152" s="298"/>
      <c r="Z152" s="298"/>
    </row>
    <row r="153" spans="19:35" ht="18.75" customHeight="1" x14ac:dyDescent="0.2">
      <c r="T153" s="166"/>
      <c r="U153" s="167"/>
      <c r="V153" s="167"/>
      <c r="W153" s="175"/>
      <c r="X153" s="297"/>
      <c r="Y153" s="298"/>
      <c r="Z153" s="298"/>
    </row>
    <row r="154" spans="19:35" ht="18.75" customHeight="1" x14ac:dyDescent="0.2">
      <c r="T154" s="166"/>
      <c r="U154" s="167"/>
      <c r="V154" s="167"/>
      <c r="W154" s="175"/>
      <c r="X154" s="297"/>
      <c r="Y154" s="298"/>
      <c r="Z154" s="298"/>
    </row>
    <row r="155" spans="19:35" ht="18.75" customHeight="1" thickBot="1" x14ac:dyDescent="0.25">
      <c r="T155" s="168"/>
      <c r="U155" s="169"/>
      <c r="V155" s="169"/>
      <c r="W155" s="176"/>
      <c r="X155" s="297"/>
      <c r="Y155" s="298"/>
      <c r="Z155" s="298"/>
    </row>
    <row r="156" spans="19:35" ht="18.75" customHeight="1" x14ac:dyDescent="0.2">
      <c r="S156" s="162" t="str">
        <f>IF(M21="","",UPPER(M21))</f>
        <v>P</v>
      </c>
      <c r="T156" s="170"/>
      <c r="U156" s="171"/>
      <c r="V156" s="171"/>
      <c r="W156" s="174"/>
      <c r="X156" s="297"/>
      <c r="Y156" s="298"/>
      <c r="Z156" s="298"/>
    </row>
    <row r="157" spans="19:35" ht="18.75" customHeight="1" x14ac:dyDescent="0.2">
      <c r="T157" s="166"/>
      <c r="U157" s="167"/>
      <c r="V157" s="167"/>
      <c r="W157" s="175"/>
      <c r="X157" s="297"/>
      <c r="Y157" s="298"/>
      <c r="Z157" s="298"/>
    </row>
    <row r="158" spans="19:35" ht="18.75" customHeight="1" x14ac:dyDescent="0.2">
      <c r="T158" s="166"/>
      <c r="U158" s="167"/>
      <c r="V158" s="167"/>
      <c r="W158" s="175"/>
      <c r="X158" s="297"/>
      <c r="Y158" s="298"/>
      <c r="Z158" s="298"/>
    </row>
    <row r="159" spans="19:35" ht="18.75" customHeight="1" x14ac:dyDescent="0.2">
      <c r="T159" s="166"/>
      <c r="U159" s="167"/>
      <c r="V159" s="167"/>
      <c r="W159" s="175"/>
      <c r="X159" s="297"/>
      <c r="Y159" s="298"/>
      <c r="Z159" s="298"/>
    </row>
    <row r="160" spans="19:35" ht="18.75" customHeight="1" x14ac:dyDescent="0.2">
      <c r="T160" s="166"/>
      <c r="U160" s="167"/>
      <c r="V160" s="167"/>
      <c r="W160" s="175"/>
      <c r="X160" s="297"/>
      <c r="Y160" s="298"/>
      <c r="Z160" s="298"/>
    </row>
    <row r="161" spans="19:26" ht="18.75" customHeight="1" x14ac:dyDescent="0.2">
      <c r="T161" s="166"/>
      <c r="U161" s="167"/>
      <c r="V161" s="167"/>
      <c r="W161" s="175"/>
      <c r="X161" s="297"/>
      <c r="Y161" s="298"/>
      <c r="Z161" s="298"/>
    </row>
    <row r="162" spans="19:26" ht="18.75" customHeight="1" x14ac:dyDescent="0.2">
      <c r="T162" s="166"/>
      <c r="U162" s="167"/>
      <c r="V162" s="167"/>
      <c r="W162" s="175"/>
      <c r="X162" s="297"/>
      <c r="Y162" s="298"/>
      <c r="Z162" s="298"/>
    </row>
    <row r="163" spans="19:26" ht="18.75" customHeight="1" x14ac:dyDescent="0.2">
      <c r="T163" s="166"/>
      <c r="U163" s="167"/>
      <c r="V163" s="167"/>
      <c r="W163" s="175"/>
      <c r="X163" s="297"/>
      <c r="Y163" s="298"/>
      <c r="Z163" s="298"/>
    </row>
    <row r="164" spans="19:26" ht="18.75" customHeight="1" x14ac:dyDescent="0.2">
      <c r="T164" s="166"/>
      <c r="U164" s="167"/>
      <c r="V164" s="167"/>
      <c r="W164" s="175"/>
      <c r="X164" s="297"/>
      <c r="Y164" s="298"/>
      <c r="Z164" s="298"/>
    </row>
    <row r="165" spans="19:26" ht="18.75" customHeight="1" thickBot="1" x14ac:dyDescent="0.25">
      <c r="T165" s="168"/>
      <c r="U165" s="169"/>
      <c r="V165" s="169"/>
      <c r="W165" s="176"/>
      <c r="X165" s="297"/>
      <c r="Y165" s="298"/>
      <c r="Z165" s="298"/>
    </row>
    <row r="166" spans="19:26" ht="18.75" customHeight="1" x14ac:dyDescent="0.2">
      <c r="S166" s="162" t="str">
        <f>IF(M22="","",UPPER(M22))</f>
        <v>Q</v>
      </c>
      <c r="T166" s="170"/>
      <c r="U166" s="171"/>
      <c r="V166" s="171"/>
      <c r="W166" s="174"/>
      <c r="X166" s="297"/>
      <c r="Y166" s="298"/>
      <c r="Z166" s="298"/>
    </row>
    <row r="167" spans="19:26" ht="18.75" customHeight="1" x14ac:dyDescent="0.2">
      <c r="T167" s="166"/>
      <c r="U167" s="167"/>
      <c r="V167" s="167"/>
      <c r="W167" s="175"/>
      <c r="X167" s="297"/>
      <c r="Y167" s="298"/>
      <c r="Z167" s="298"/>
    </row>
    <row r="168" spans="19:26" ht="18.75" customHeight="1" x14ac:dyDescent="0.2">
      <c r="T168" s="166"/>
      <c r="U168" s="167"/>
      <c r="V168" s="167"/>
      <c r="W168" s="175"/>
      <c r="X168" s="297"/>
      <c r="Y168" s="298"/>
      <c r="Z168" s="298"/>
    </row>
    <row r="169" spans="19:26" ht="18.75" customHeight="1" x14ac:dyDescent="0.2">
      <c r="T169" s="166"/>
      <c r="U169" s="167"/>
      <c r="V169" s="167"/>
      <c r="W169" s="175"/>
      <c r="X169" s="297"/>
      <c r="Y169" s="298"/>
      <c r="Z169" s="298"/>
    </row>
    <row r="170" spans="19:26" ht="18.75" customHeight="1" x14ac:dyDescent="0.2">
      <c r="T170" s="166"/>
      <c r="U170" s="167"/>
      <c r="V170" s="167"/>
      <c r="W170" s="175"/>
      <c r="X170" s="297"/>
      <c r="Y170" s="298"/>
      <c r="Z170" s="298"/>
    </row>
    <row r="171" spans="19:26" ht="18.75" customHeight="1" x14ac:dyDescent="0.2">
      <c r="T171" s="166"/>
      <c r="U171" s="167"/>
      <c r="V171" s="167"/>
      <c r="W171" s="175"/>
      <c r="X171" s="297"/>
      <c r="Y171" s="298"/>
      <c r="Z171" s="298"/>
    </row>
    <row r="172" spans="19:26" ht="18.75" customHeight="1" x14ac:dyDescent="0.2">
      <c r="T172" s="166"/>
      <c r="U172" s="167"/>
      <c r="V172" s="167"/>
      <c r="W172" s="175"/>
      <c r="X172" s="297"/>
      <c r="Y172" s="298"/>
      <c r="Z172" s="298"/>
    </row>
    <row r="173" spans="19:26" ht="18.75" customHeight="1" x14ac:dyDescent="0.2">
      <c r="T173" s="166"/>
      <c r="U173" s="167"/>
      <c r="V173" s="167"/>
      <c r="W173" s="175"/>
      <c r="X173" s="297"/>
      <c r="Y173" s="298"/>
      <c r="Z173" s="298"/>
    </row>
    <row r="174" spans="19:26" ht="18.75" customHeight="1" x14ac:dyDescent="0.2">
      <c r="T174" s="166"/>
      <c r="U174" s="167"/>
      <c r="V174" s="167"/>
      <c r="W174" s="175"/>
      <c r="X174" s="297"/>
      <c r="Y174" s="298"/>
      <c r="Z174" s="298"/>
    </row>
    <row r="175" spans="19:26" ht="18.75" customHeight="1" thickBot="1" x14ac:dyDescent="0.25">
      <c r="T175" s="168"/>
      <c r="U175" s="169"/>
      <c r="V175" s="169"/>
      <c r="W175" s="176"/>
      <c r="X175" s="297"/>
      <c r="Y175" s="298"/>
      <c r="Z175" s="298"/>
    </row>
    <row r="176" spans="19:26" ht="18.75" customHeight="1" x14ac:dyDescent="0.2">
      <c r="S176" s="162" t="str">
        <f>IF(M23="","",UPPER(M23))</f>
        <v>R</v>
      </c>
      <c r="T176" s="170"/>
      <c r="U176" s="171"/>
      <c r="V176" s="171"/>
      <c r="W176" s="174"/>
      <c r="X176" s="297"/>
      <c r="Y176" s="298"/>
      <c r="Z176" s="298"/>
    </row>
    <row r="177" spans="19:26" ht="18.75" customHeight="1" x14ac:dyDescent="0.2">
      <c r="T177" s="166"/>
      <c r="U177" s="167"/>
      <c r="V177" s="167"/>
      <c r="W177" s="175"/>
      <c r="X177" s="297"/>
      <c r="Y177" s="298"/>
      <c r="Z177" s="298"/>
    </row>
    <row r="178" spans="19:26" ht="18.75" customHeight="1" x14ac:dyDescent="0.2">
      <c r="T178" s="166"/>
      <c r="U178" s="167"/>
      <c r="V178" s="167"/>
      <c r="W178" s="175"/>
      <c r="X178" s="297"/>
      <c r="Y178" s="298"/>
      <c r="Z178" s="298"/>
    </row>
    <row r="179" spans="19:26" ht="18.75" customHeight="1" x14ac:dyDescent="0.2">
      <c r="T179" s="166"/>
      <c r="U179" s="167"/>
      <c r="V179" s="167"/>
      <c r="W179" s="175"/>
      <c r="X179" s="297"/>
      <c r="Y179" s="298"/>
      <c r="Z179" s="298"/>
    </row>
    <row r="180" spans="19:26" ht="18.75" customHeight="1" x14ac:dyDescent="0.2">
      <c r="T180" s="166"/>
      <c r="U180" s="167"/>
      <c r="V180" s="167"/>
      <c r="W180" s="175"/>
      <c r="X180" s="297"/>
      <c r="Y180" s="298"/>
      <c r="Z180" s="298"/>
    </row>
    <row r="181" spans="19:26" ht="18.75" customHeight="1" x14ac:dyDescent="0.2">
      <c r="T181" s="166"/>
      <c r="U181" s="167"/>
      <c r="V181" s="167"/>
      <c r="W181" s="175"/>
      <c r="X181" s="297"/>
      <c r="Y181" s="298"/>
      <c r="Z181" s="298"/>
    </row>
    <row r="182" spans="19:26" ht="18.75" customHeight="1" x14ac:dyDescent="0.2">
      <c r="T182" s="166"/>
      <c r="U182" s="167"/>
      <c r="V182" s="167"/>
      <c r="W182" s="175"/>
      <c r="X182" s="297"/>
      <c r="Y182" s="298"/>
      <c r="Z182" s="298"/>
    </row>
    <row r="183" spans="19:26" ht="18.75" customHeight="1" x14ac:dyDescent="0.2">
      <c r="T183" s="166"/>
      <c r="U183" s="167"/>
      <c r="V183" s="167"/>
      <c r="W183" s="175"/>
      <c r="X183" s="297"/>
      <c r="Y183" s="298"/>
      <c r="Z183" s="298"/>
    </row>
    <row r="184" spans="19:26" ht="18.75" customHeight="1" x14ac:dyDescent="0.2">
      <c r="T184" s="166"/>
      <c r="U184" s="167"/>
      <c r="V184" s="167"/>
      <c r="W184" s="175"/>
      <c r="X184" s="297"/>
      <c r="Y184" s="298"/>
      <c r="Z184" s="298"/>
    </row>
    <row r="185" spans="19:26" ht="18.75" customHeight="1" thickBot="1" x14ac:dyDescent="0.25">
      <c r="T185" s="168"/>
      <c r="U185" s="169"/>
      <c r="V185" s="169"/>
      <c r="W185" s="176"/>
      <c r="X185" s="297"/>
      <c r="Y185" s="298"/>
      <c r="Z185" s="298"/>
    </row>
    <row r="186" spans="19:26" ht="18.75" customHeight="1" x14ac:dyDescent="0.2">
      <c r="S186" s="162" t="str">
        <f>IF(M24="","",UPPER(M24))</f>
        <v>S</v>
      </c>
      <c r="T186" s="170"/>
      <c r="U186" s="171"/>
      <c r="V186" s="171"/>
      <c r="W186" s="174"/>
      <c r="X186" s="297"/>
      <c r="Y186" s="298"/>
      <c r="Z186" s="298"/>
    </row>
    <row r="187" spans="19:26" ht="18.75" customHeight="1" x14ac:dyDescent="0.2">
      <c r="T187" s="166"/>
      <c r="U187" s="167"/>
      <c r="V187" s="167"/>
      <c r="W187" s="175"/>
      <c r="X187" s="297"/>
      <c r="Y187" s="298"/>
      <c r="Z187" s="298"/>
    </row>
    <row r="188" spans="19:26" ht="18.75" customHeight="1" x14ac:dyDescent="0.2">
      <c r="T188" s="166"/>
      <c r="U188" s="167"/>
      <c r="V188" s="167"/>
      <c r="W188" s="175"/>
      <c r="X188" s="297"/>
      <c r="Y188" s="298"/>
      <c r="Z188" s="298"/>
    </row>
    <row r="189" spans="19:26" ht="18.75" customHeight="1" x14ac:dyDescent="0.2">
      <c r="T189" s="166"/>
      <c r="U189" s="167"/>
      <c r="V189" s="167"/>
      <c r="W189" s="175"/>
      <c r="X189" s="297"/>
      <c r="Y189" s="298"/>
      <c r="Z189" s="298"/>
    </row>
    <row r="190" spans="19:26" ht="18.75" customHeight="1" x14ac:dyDescent="0.2">
      <c r="T190" s="166"/>
      <c r="U190" s="167"/>
      <c r="V190" s="167"/>
      <c r="W190" s="175"/>
      <c r="X190" s="297"/>
      <c r="Y190" s="298"/>
      <c r="Z190" s="298"/>
    </row>
    <row r="191" spans="19:26" ht="18.75" customHeight="1" x14ac:dyDescent="0.2">
      <c r="T191" s="166"/>
      <c r="U191" s="167"/>
      <c r="V191" s="167"/>
      <c r="W191" s="175"/>
      <c r="X191" s="297"/>
      <c r="Y191" s="298"/>
      <c r="Z191" s="298"/>
    </row>
    <row r="192" spans="19:26" ht="18.75" customHeight="1" x14ac:dyDescent="0.2">
      <c r="T192" s="166"/>
      <c r="U192" s="167"/>
      <c r="V192" s="167"/>
      <c r="W192" s="175"/>
      <c r="X192" s="297"/>
      <c r="Y192" s="298"/>
      <c r="Z192" s="298"/>
    </row>
    <row r="193" spans="19:26" ht="18.75" customHeight="1" x14ac:dyDescent="0.2">
      <c r="T193" s="166"/>
      <c r="U193" s="167"/>
      <c r="V193" s="167"/>
      <c r="W193" s="175"/>
      <c r="X193" s="297"/>
      <c r="Y193" s="298"/>
      <c r="Z193" s="298"/>
    </row>
    <row r="194" spans="19:26" ht="18.75" customHeight="1" x14ac:dyDescent="0.2">
      <c r="T194" s="166"/>
      <c r="U194" s="167"/>
      <c r="V194" s="167"/>
      <c r="W194" s="175"/>
      <c r="X194" s="297"/>
      <c r="Y194" s="298"/>
      <c r="Z194" s="298"/>
    </row>
    <row r="195" spans="19:26" ht="18.75" customHeight="1" thickBot="1" x14ac:dyDescent="0.25">
      <c r="T195" s="168"/>
      <c r="U195" s="169"/>
      <c r="V195" s="169"/>
      <c r="W195" s="176"/>
      <c r="X195" s="297"/>
      <c r="Y195" s="298"/>
      <c r="Z195" s="298"/>
    </row>
    <row r="196" spans="19:26" ht="18.75" customHeight="1" x14ac:dyDescent="0.2">
      <c r="S196" s="162" t="str">
        <f>IF(M25="","",UPPER(M25))</f>
        <v>T</v>
      </c>
      <c r="T196" s="170"/>
      <c r="U196" s="171"/>
      <c r="V196" s="171"/>
      <c r="W196" s="174"/>
      <c r="X196" s="297"/>
      <c r="Y196" s="298"/>
      <c r="Z196" s="298"/>
    </row>
    <row r="197" spans="19:26" ht="18.75" customHeight="1" x14ac:dyDescent="0.2">
      <c r="T197" s="166"/>
      <c r="U197" s="167"/>
      <c r="V197" s="167"/>
      <c r="W197" s="175"/>
      <c r="X197" s="297"/>
      <c r="Y197" s="298"/>
      <c r="Z197" s="298"/>
    </row>
    <row r="198" spans="19:26" ht="18.75" customHeight="1" x14ac:dyDescent="0.2">
      <c r="T198" s="166"/>
      <c r="U198" s="167"/>
      <c r="V198" s="167"/>
      <c r="W198" s="175"/>
      <c r="X198" s="297"/>
      <c r="Y198" s="298"/>
      <c r="Z198" s="298"/>
    </row>
    <row r="199" spans="19:26" ht="18.75" customHeight="1" x14ac:dyDescent="0.2">
      <c r="T199" s="166"/>
      <c r="U199" s="167"/>
      <c r="V199" s="167"/>
      <c r="W199" s="175"/>
      <c r="X199" s="297"/>
      <c r="Y199" s="298"/>
      <c r="Z199" s="298"/>
    </row>
    <row r="200" spans="19:26" ht="18.75" customHeight="1" x14ac:dyDescent="0.2">
      <c r="T200" s="166"/>
      <c r="U200" s="167"/>
      <c r="V200" s="167"/>
      <c r="W200" s="175"/>
      <c r="X200" s="297"/>
      <c r="Y200" s="298"/>
      <c r="Z200" s="298"/>
    </row>
    <row r="201" spans="19:26" ht="18.75" customHeight="1" x14ac:dyDescent="0.2">
      <c r="T201" s="166"/>
      <c r="U201" s="167"/>
      <c r="V201" s="167"/>
      <c r="W201" s="175"/>
      <c r="X201" s="297"/>
      <c r="Y201" s="298"/>
      <c r="Z201" s="298"/>
    </row>
    <row r="202" spans="19:26" ht="18.75" customHeight="1" x14ac:dyDescent="0.2">
      <c r="T202" s="166"/>
      <c r="U202" s="167"/>
      <c r="V202" s="167"/>
      <c r="W202" s="175"/>
      <c r="X202" s="297"/>
      <c r="Y202" s="298"/>
      <c r="Z202" s="298"/>
    </row>
    <row r="203" spans="19:26" ht="18.75" customHeight="1" x14ac:dyDescent="0.2">
      <c r="T203" s="166"/>
      <c r="U203" s="167"/>
      <c r="V203" s="167"/>
      <c r="W203" s="175"/>
      <c r="X203" s="297"/>
      <c r="Y203" s="298"/>
      <c r="Z203" s="298"/>
    </row>
    <row r="204" spans="19:26" ht="18.75" customHeight="1" x14ac:dyDescent="0.2">
      <c r="T204" s="166"/>
      <c r="U204" s="167"/>
      <c r="V204" s="167"/>
      <c r="W204" s="175"/>
      <c r="X204" s="297"/>
      <c r="Y204" s="298"/>
      <c r="Z204" s="298"/>
    </row>
    <row r="205" spans="19:26" ht="18.75" customHeight="1" thickBot="1" x14ac:dyDescent="0.25">
      <c r="T205" s="168"/>
      <c r="U205" s="169"/>
      <c r="V205" s="169"/>
      <c r="W205" s="176"/>
      <c r="X205" s="297"/>
      <c r="Y205" s="298"/>
      <c r="Z205" s="298"/>
    </row>
    <row r="206" spans="19:26" ht="18.75" customHeight="1" x14ac:dyDescent="0.2">
      <c r="S206" s="162" t="str">
        <f>IF(M26="","",UPPER(M26))</f>
        <v>U</v>
      </c>
      <c r="T206" s="170"/>
      <c r="U206" s="171"/>
      <c r="V206" s="171"/>
      <c r="W206" s="174"/>
      <c r="X206" s="297"/>
      <c r="Y206" s="298"/>
      <c r="Z206" s="298"/>
    </row>
    <row r="207" spans="19:26" ht="18.75" customHeight="1" x14ac:dyDescent="0.2">
      <c r="T207" s="166"/>
      <c r="U207" s="167"/>
      <c r="V207" s="167"/>
      <c r="W207" s="175"/>
      <c r="X207" s="297"/>
      <c r="Y207" s="298"/>
      <c r="Z207" s="298"/>
    </row>
    <row r="208" spans="19:26" ht="18.75" customHeight="1" x14ac:dyDescent="0.2">
      <c r="T208" s="166"/>
      <c r="U208" s="167"/>
      <c r="V208" s="167"/>
      <c r="W208" s="175"/>
      <c r="X208" s="297"/>
      <c r="Y208" s="298"/>
      <c r="Z208" s="298"/>
    </row>
    <row r="209" spans="19:26" ht="18.75" customHeight="1" x14ac:dyDescent="0.2">
      <c r="T209" s="166"/>
      <c r="U209" s="167"/>
      <c r="V209" s="167"/>
      <c r="W209" s="175"/>
      <c r="X209" s="297"/>
      <c r="Y209" s="298"/>
      <c r="Z209" s="298"/>
    </row>
    <row r="210" spans="19:26" ht="18.75" customHeight="1" x14ac:dyDescent="0.2">
      <c r="T210" s="166"/>
      <c r="U210" s="167"/>
      <c r="V210" s="167"/>
      <c r="W210" s="175"/>
      <c r="X210" s="297"/>
      <c r="Y210" s="298"/>
      <c r="Z210" s="298"/>
    </row>
    <row r="211" spans="19:26" ht="18.75" customHeight="1" x14ac:dyDescent="0.2">
      <c r="T211" s="166"/>
      <c r="U211" s="167"/>
      <c r="V211" s="167"/>
      <c r="W211" s="175"/>
      <c r="X211" s="297"/>
      <c r="Y211" s="298"/>
      <c r="Z211" s="298"/>
    </row>
    <row r="212" spans="19:26" ht="18.75" customHeight="1" x14ac:dyDescent="0.2">
      <c r="T212" s="166"/>
      <c r="U212" s="167"/>
      <c r="V212" s="167"/>
      <c r="W212" s="175"/>
      <c r="X212" s="297"/>
      <c r="Y212" s="298"/>
      <c r="Z212" s="298"/>
    </row>
    <row r="213" spans="19:26" ht="18.75" customHeight="1" x14ac:dyDescent="0.2">
      <c r="T213" s="166"/>
      <c r="U213" s="167"/>
      <c r="V213" s="167"/>
      <c r="W213" s="175"/>
      <c r="X213" s="297"/>
      <c r="Y213" s="298"/>
      <c r="Z213" s="298"/>
    </row>
    <row r="214" spans="19:26" ht="18.75" customHeight="1" x14ac:dyDescent="0.2">
      <c r="T214" s="166"/>
      <c r="U214" s="167"/>
      <c r="V214" s="167"/>
      <c r="W214" s="175"/>
      <c r="X214" s="297"/>
      <c r="Y214" s="298"/>
      <c r="Z214" s="298"/>
    </row>
    <row r="215" spans="19:26" ht="18.75" customHeight="1" thickBot="1" x14ac:dyDescent="0.25">
      <c r="T215" s="168"/>
      <c r="U215" s="169"/>
      <c r="V215" s="169"/>
      <c r="W215" s="176"/>
      <c r="X215" s="297"/>
      <c r="Y215" s="298"/>
      <c r="Z215" s="298"/>
    </row>
    <row r="216" spans="19:26" ht="18.75" customHeight="1" x14ac:dyDescent="0.2">
      <c r="S216" s="162" t="str">
        <f>IF(M27="","",UPPER(M27))</f>
        <v>V</v>
      </c>
      <c r="T216" s="170"/>
      <c r="U216" s="171"/>
      <c r="V216" s="171"/>
      <c r="W216" s="174"/>
      <c r="X216" s="297"/>
      <c r="Y216" s="298"/>
      <c r="Z216" s="298"/>
    </row>
    <row r="217" spans="19:26" ht="18.75" customHeight="1" x14ac:dyDescent="0.2">
      <c r="T217" s="166"/>
      <c r="U217" s="167"/>
      <c r="V217" s="167"/>
      <c r="W217" s="175"/>
      <c r="X217" s="297"/>
      <c r="Y217" s="298"/>
      <c r="Z217" s="298"/>
    </row>
    <row r="218" spans="19:26" ht="18.75" customHeight="1" x14ac:dyDescent="0.2">
      <c r="T218" s="166"/>
      <c r="U218" s="167"/>
      <c r="V218" s="167"/>
      <c r="W218" s="175"/>
      <c r="X218" s="297"/>
      <c r="Y218" s="298"/>
      <c r="Z218" s="298"/>
    </row>
    <row r="219" spans="19:26" ht="18.75" customHeight="1" x14ac:dyDescent="0.2">
      <c r="T219" s="166"/>
      <c r="U219" s="167"/>
      <c r="V219" s="167"/>
      <c r="W219" s="175"/>
      <c r="X219" s="297"/>
      <c r="Y219" s="298"/>
      <c r="Z219" s="298"/>
    </row>
    <row r="220" spans="19:26" ht="18.75" customHeight="1" x14ac:dyDescent="0.2">
      <c r="T220" s="166"/>
      <c r="U220" s="167"/>
      <c r="V220" s="167"/>
      <c r="W220" s="175"/>
      <c r="X220" s="297"/>
      <c r="Y220" s="298"/>
      <c r="Z220" s="298"/>
    </row>
    <row r="221" spans="19:26" ht="18.75" customHeight="1" x14ac:dyDescent="0.2">
      <c r="T221" s="166"/>
      <c r="U221" s="167"/>
      <c r="V221" s="167"/>
      <c r="W221" s="175"/>
      <c r="X221" s="297"/>
      <c r="Y221" s="298"/>
      <c r="Z221" s="298"/>
    </row>
    <row r="222" spans="19:26" ht="18.75" customHeight="1" x14ac:dyDescent="0.2">
      <c r="T222" s="166"/>
      <c r="U222" s="167"/>
      <c r="V222" s="167"/>
      <c r="W222" s="175"/>
      <c r="X222" s="297"/>
      <c r="Y222" s="298"/>
      <c r="Z222" s="298"/>
    </row>
    <row r="223" spans="19:26" ht="18.75" customHeight="1" x14ac:dyDescent="0.2">
      <c r="T223" s="166"/>
      <c r="U223" s="167"/>
      <c r="V223" s="167"/>
      <c r="W223" s="175"/>
      <c r="X223" s="297"/>
      <c r="Y223" s="298"/>
      <c r="Z223" s="298"/>
    </row>
    <row r="224" spans="19:26" ht="18.75" customHeight="1" x14ac:dyDescent="0.2">
      <c r="T224" s="166"/>
      <c r="U224" s="167"/>
      <c r="V224" s="167"/>
      <c r="W224" s="175"/>
      <c r="X224" s="297"/>
      <c r="Y224" s="298"/>
      <c r="Z224" s="298"/>
    </row>
    <row r="225" spans="19:26" ht="18.75" customHeight="1" thickBot="1" x14ac:dyDescent="0.25">
      <c r="T225" s="168"/>
      <c r="U225" s="169"/>
      <c r="V225" s="169"/>
      <c r="W225" s="176"/>
      <c r="X225" s="297"/>
      <c r="Y225" s="298"/>
      <c r="Z225" s="298"/>
    </row>
    <row r="226" spans="19:26" ht="18.75" customHeight="1" x14ac:dyDescent="0.2">
      <c r="S226" s="162" t="str">
        <f>IF(M28="","",UPPER(M28))</f>
        <v>W</v>
      </c>
      <c r="T226" s="170"/>
      <c r="U226" s="171"/>
      <c r="V226" s="171"/>
      <c r="W226" s="174"/>
      <c r="X226" s="297"/>
      <c r="Y226" s="298"/>
      <c r="Z226" s="298"/>
    </row>
    <row r="227" spans="19:26" ht="18.75" customHeight="1" x14ac:dyDescent="0.2">
      <c r="T227" s="166"/>
      <c r="U227" s="167"/>
      <c r="V227" s="167"/>
      <c r="W227" s="175"/>
      <c r="X227" s="297"/>
      <c r="Y227" s="298"/>
      <c r="Z227" s="298"/>
    </row>
    <row r="228" spans="19:26" ht="18.75" customHeight="1" x14ac:dyDescent="0.2">
      <c r="T228" s="166"/>
      <c r="U228" s="167"/>
      <c r="V228" s="167"/>
      <c r="W228" s="175"/>
      <c r="X228" s="297"/>
      <c r="Y228" s="298"/>
      <c r="Z228" s="298"/>
    </row>
    <row r="229" spans="19:26" ht="18.75" customHeight="1" x14ac:dyDescent="0.2">
      <c r="T229" s="166"/>
      <c r="U229" s="167"/>
      <c r="V229" s="167"/>
      <c r="W229" s="175"/>
      <c r="X229" s="297"/>
      <c r="Y229" s="298"/>
      <c r="Z229" s="298"/>
    </row>
    <row r="230" spans="19:26" ht="18.75" customHeight="1" x14ac:dyDescent="0.2">
      <c r="T230" s="166"/>
      <c r="U230" s="167"/>
      <c r="V230" s="167"/>
      <c r="W230" s="175"/>
      <c r="X230" s="297"/>
      <c r="Y230" s="298"/>
      <c r="Z230" s="298"/>
    </row>
    <row r="231" spans="19:26" ht="18.75" customHeight="1" x14ac:dyDescent="0.2">
      <c r="T231" s="166"/>
      <c r="U231" s="167"/>
      <c r="V231" s="167"/>
      <c r="W231" s="175"/>
      <c r="X231" s="297"/>
      <c r="Y231" s="298"/>
      <c r="Z231" s="298"/>
    </row>
    <row r="232" spans="19:26" ht="18.75" customHeight="1" x14ac:dyDescent="0.2">
      <c r="T232" s="166"/>
      <c r="U232" s="167"/>
      <c r="V232" s="167"/>
      <c r="W232" s="175"/>
      <c r="X232" s="297"/>
      <c r="Y232" s="298"/>
      <c r="Z232" s="298"/>
    </row>
    <row r="233" spans="19:26" ht="18.75" customHeight="1" x14ac:dyDescent="0.2">
      <c r="T233" s="166"/>
      <c r="U233" s="167"/>
      <c r="V233" s="167"/>
      <c r="W233" s="175"/>
      <c r="X233" s="297"/>
      <c r="Y233" s="298"/>
      <c r="Z233" s="298"/>
    </row>
    <row r="234" spans="19:26" ht="18.75" customHeight="1" x14ac:dyDescent="0.2">
      <c r="T234" s="166"/>
      <c r="U234" s="167"/>
      <c r="V234" s="167"/>
      <c r="W234" s="175"/>
      <c r="X234" s="297"/>
      <c r="Y234" s="298"/>
      <c r="Z234" s="298"/>
    </row>
    <row r="235" spans="19:26" ht="18.75" customHeight="1" thickBot="1" x14ac:dyDescent="0.25">
      <c r="T235" s="168"/>
      <c r="U235" s="169"/>
      <c r="V235" s="169"/>
      <c r="W235" s="176"/>
      <c r="X235" s="297"/>
      <c r="Y235" s="298"/>
      <c r="Z235" s="298"/>
    </row>
    <row r="236" spans="19:26" ht="18.75" customHeight="1" x14ac:dyDescent="0.2">
      <c r="S236" s="162" t="str">
        <f>IF(M29="","",UPPER(M29))</f>
        <v>X</v>
      </c>
      <c r="T236" s="170"/>
      <c r="U236" s="171"/>
      <c r="V236" s="171"/>
      <c r="W236" s="174"/>
      <c r="X236" s="297"/>
      <c r="Y236" s="298"/>
      <c r="Z236" s="298"/>
    </row>
    <row r="237" spans="19:26" ht="18.75" customHeight="1" x14ac:dyDescent="0.2">
      <c r="T237" s="166"/>
      <c r="U237" s="167"/>
      <c r="V237" s="167"/>
      <c r="W237" s="175"/>
      <c r="X237" s="297"/>
      <c r="Y237" s="298"/>
      <c r="Z237" s="298"/>
    </row>
    <row r="238" spans="19:26" ht="18.75" customHeight="1" x14ac:dyDescent="0.2">
      <c r="T238" s="166"/>
      <c r="U238" s="167"/>
      <c r="V238" s="167"/>
      <c r="W238" s="175"/>
      <c r="X238" s="297"/>
      <c r="Y238" s="298"/>
      <c r="Z238" s="298"/>
    </row>
    <row r="239" spans="19:26" ht="18.75" customHeight="1" x14ac:dyDescent="0.2">
      <c r="T239" s="166"/>
      <c r="U239" s="167"/>
      <c r="V239" s="167"/>
      <c r="W239" s="175"/>
      <c r="X239" s="297"/>
      <c r="Y239" s="298"/>
      <c r="Z239" s="298"/>
    </row>
    <row r="240" spans="19:26" ht="18.75" customHeight="1" x14ac:dyDescent="0.2">
      <c r="T240" s="166"/>
      <c r="U240" s="167"/>
      <c r="V240" s="167"/>
      <c r="W240" s="175"/>
      <c r="X240" s="297"/>
      <c r="Y240" s="298"/>
      <c r="Z240" s="298"/>
    </row>
    <row r="241" spans="20:26" ht="18.75" customHeight="1" x14ac:dyDescent="0.2">
      <c r="T241" s="166"/>
      <c r="U241" s="167"/>
      <c r="V241" s="167"/>
      <c r="W241" s="175"/>
      <c r="X241" s="297"/>
      <c r="Y241" s="298"/>
      <c r="Z241" s="298"/>
    </row>
    <row r="242" spans="20:26" ht="18.75" customHeight="1" x14ac:dyDescent="0.2">
      <c r="T242" s="166"/>
      <c r="U242" s="167"/>
      <c r="V242" s="167"/>
      <c r="W242" s="175"/>
      <c r="X242" s="297"/>
      <c r="Y242" s="298"/>
      <c r="Z242" s="298"/>
    </row>
    <row r="243" spans="20:26" ht="18.75" customHeight="1" x14ac:dyDescent="0.2">
      <c r="T243" s="166"/>
      <c r="U243" s="167"/>
      <c r="V243" s="167"/>
      <c r="W243" s="175"/>
      <c r="X243" s="297"/>
      <c r="Y243" s="298"/>
      <c r="Z243" s="298"/>
    </row>
    <row r="244" spans="20:26" ht="18.75" customHeight="1" x14ac:dyDescent="0.2">
      <c r="T244" s="166"/>
      <c r="U244" s="167"/>
      <c r="V244" s="167"/>
      <c r="W244" s="175"/>
      <c r="X244" s="297"/>
      <c r="Y244" s="298"/>
      <c r="Z244" s="298"/>
    </row>
    <row r="245" spans="20:26" ht="18.75" customHeight="1" thickBot="1" x14ac:dyDescent="0.25">
      <c r="T245" s="168"/>
      <c r="U245" s="169"/>
      <c r="V245" s="169"/>
      <c r="W245" s="176"/>
      <c r="X245" s="297"/>
      <c r="Y245" s="298"/>
      <c r="Z245" s="298"/>
    </row>
    <row r="246" spans="20:26" ht="18.75" customHeight="1" x14ac:dyDescent="0.2">
      <c r="X246" s="297"/>
      <c r="Y246" s="298"/>
      <c r="Z246" s="298"/>
    </row>
    <row r="247" spans="20:26" ht="18.75" customHeight="1" x14ac:dyDescent="0.2">
      <c r="X247" s="297"/>
      <c r="Y247" s="298"/>
      <c r="Z247" s="298"/>
    </row>
    <row r="248" spans="20:26" ht="18.75" customHeight="1" x14ac:dyDescent="0.2">
      <c r="X248" s="297"/>
      <c r="Y248" s="298"/>
      <c r="Z248" s="298"/>
    </row>
    <row r="249" spans="20:26" ht="18.75" customHeight="1" x14ac:dyDescent="0.2">
      <c r="X249" s="297"/>
      <c r="Y249" s="298"/>
      <c r="Z249" s="298"/>
    </row>
    <row r="250" spans="20:26" ht="18.75" customHeight="1" x14ac:dyDescent="0.2">
      <c r="X250" s="297"/>
      <c r="Y250" s="298"/>
      <c r="Z250" s="298"/>
    </row>
    <row r="251" spans="20:26" ht="18.75" customHeight="1" x14ac:dyDescent="0.2">
      <c r="X251" s="297"/>
      <c r="Y251" s="298"/>
      <c r="Z251" s="298"/>
    </row>
    <row r="252" spans="20:26" ht="18.75" customHeight="1" x14ac:dyDescent="0.2">
      <c r="X252" s="297"/>
      <c r="Y252" s="298"/>
      <c r="Z252" s="298"/>
    </row>
    <row r="253" spans="20:26" ht="18.75" customHeight="1" x14ac:dyDescent="0.2">
      <c r="X253" s="297"/>
      <c r="Y253" s="298"/>
      <c r="Z253" s="298"/>
    </row>
    <row r="254" spans="20:26" ht="18.75" customHeight="1" x14ac:dyDescent="0.2">
      <c r="X254" s="297"/>
      <c r="Y254" s="298"/>
      <c r="Z254" s="298"/>
    </row>
    <row r="255" spans="20:26" ht="18.75" customHeight="1" x14ac:dyDescent="0.2">
      <c r="X255" s="297"/>
      <c r="Y255" s="298"/>
      <c r="Z255" s="298"/>
    </row>
    <row r="256" spans="20:26" ht="18.75" customHeight="1" x14ac:dyDescent="0.2">
      <c r="X256" s="297"/>
      <c r="Y256" s="298"/>
      <c r="Z256" s="298"/>
    </row>
    <row r="257" spans="24:26" ht="18.75" customHeight="1" x14ac:dyDescent="0.2">
      <c r="X257" s="297"/>
      <c r="Y257" s="298"/>
      <c r="Z257" s="298"/>
    </row>
    <row r="258" spans="24:26" ht="18.75" customHeight="1" x14ac:dyDescent="0.2">
      <c r="X258" s="297"/>
      <c r="Y258" s="298"/>
      <c r="Z258" s="298"/>
    </row>
    <row r="259" spans="24:26" ht="18.75" customHeight="1" x14ac:dyDescent="0.2">
      <c r="X259" s="297"/>
      <c r="Y259" s="298"/>
      <c r="Z259" s="298"/>
    </row>
    <row r="260" spans="24:26" ht="18.75" customHeight="1" x14ac:dyDescent="0.2"/>
    <row r="261" spans="24:26" ht="18.75" customHeight="1" x14ac:dyDescent="0.2"/>
    <row r="262" spans="24:26" ht="18.75" customHeight="1" x14ac:dyDescent="0.2"/>
    <row r="263" spans="24:26" ht="18.75" customHeight="1" x14ac:dyDescent="0.2"/>
    <row r="264" spans="24:26" ht="18.75" customHeight="1" x14ac:dyDescent="0.2"/>
    <row r="265" spans="24:26" ht="18.75" customHeight="1" x14ac:dyDescent="0.2"/>
    <row r="266" spans="24:26" ht="18.75" customHeight="1" x14ac:dyDescent="0.2"/>
    <row r="267" spans="24:26" ht="18.75" customHeight="1" x14ac:dyDescent="0.2"/>
    <row r="268" spans="24:26" ht="18.75" customHeight="1" x14ac:dyDescent="0.2"/>
    <row r="269" spans="24:26" ht="18.75" customHeight="1" x14ac:dyDescent="0.2"/>
    <row r="270" spans="24:26" ht="18.75" customHeight="1" x14ac:dyDescent="0.2"/>
    <row r="271" spans="24:26" ht="18.75" customHeight="1" x14ac:dyDescent="0.2"/>
    <row r="272" spans="24:26" ht="18.75" customHeight="1" x14ac:dyDescent="0.2"/>
    <row r="273" ht="18.75" customHeight="1" x14ac:dyDescent="0.2"/>
    <row r="274" ht="18.75" customHeight="1" x14ac:dyDescent="0.2"/>
    <row r="275" ht="18.75" customHeight="1" x14ac:dyDescent="0.2"/>
    <row r="276" ht="18.75" customHeight="1" x14ac:dyDescent="0.2"/>
    <row r="277" ht="18.75" customHeight="1" x14ac:dyDescent="0.2"/>
  </sheetData>
  <sheetProtection sheet="1" objects="1" scenarios="1" selectLockedCells="1"/>
  <mergeCells count="19">
    <mergeCell ref="AL1:AN2"/>
    <mergeCell ref="AO1:AT2"/>
    <mergeCell ref="AU1:BA2"/>
    <mergeCell ref="L1:M2"/>
    <mergeCell ref="Q1:R2"/>
    <mergeCell ref="AD1:AD2"/>
    <mergeCell ref="P1:P2"/>
    <mergeCell ref="D9:J9"/>
    <mergeCell ref="A3:J5"/>
    <mergeCell ref="A1:J2"/>
    <mergeCell ref="Q3:Q4"/>
    <mergeCell ref="T3:W4"/>
    <mergeCell ref="N1:O2"/>
    <mergeCell ref="A6:J7"/>
    <mergeCell ref="H12:J12"/>
    <mergeCell ref="I10:J10"/>
    <mergeCell ref="D12:G12"/>
    <mergeCell ref="D11:J11"/>
    <mergeCell ref="G10:H10"/>
  </mergeCells>
  <phoneticPr fontId="1" type="noConversion"/>
  <conditionalFormatting sqref="M6:M29">
    <cfRule type="expression" dxfId="238" priority="1" stopIfTrue="1">
      <formula>$AH6=TRUE</formula>
    </cfRule>
  </conditionalFormatting>
  <conditionalFormatting sqref="N6:P29 N4:P4">
    <cfRule type="expression" dxfId="237" priority="2" stopIfTrue="1">
      <formula>$AH4=TRUE</formula>
    </cfRule>
  </conditionalFormatting>
  <conditionalFormatting sqref="N5:P5">
    <cfRule type="expression" dxfId="236" priority="3" stopIfTrue="1">
      <formula>$AH3=TRUE</formula>
    </cfRule>
  </conditionalFormatting>
  <conditionalFormatting sqref="A6:J7 A1 H12:J12 P1 L1 N1">
    <cfRule type="expression" dxfId="235" priority="4" stopIfTrue="1">
      <formula>$B$14=1</formula>
    </cfRule>
    <cfRule type="expression" dxfId="234" priority="5" stopIfTrue="1">
      <formula>$B$14=2</formula>
    </cfRule>
  </conditionalFormatting>
  <conditionalFormatting sqref="D25:D26 F22:J22 D24:E24 D21:E21 G10:H10 D18:D20 D9:J9 D11:J11 D10 D12:G12">
    <cfRule type="expression" dxfId="233" priority="6" stopIfTrue="1">
      <formula>$B$14=1</formula>
    </cfRule>
    <cfRule type="expression" dxfId="232" priority="7" stopIfTrue="1">
      <formula>$B$14=2</formula>
    </cfRule>
  </conditionalFormatting>
  <dataValidations count="1">
    <dataValidation type="list" allowBlank="1" showInputMessage="1" showErrorMessage="1" sqref="D21">
      <formula1>$AF$32:$AF$34</formula1>
    </dataValidation>
  </dataValidations>
  <printOptions horizontalCentered="1" verticalCentered="1"/>
  <pageMargins left="0.75" right="0.75" top="0.55000000000000004" bottom="0.46" header="0" footer="0"/>
  <pageSetup scale="104"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86" r:id="rId4" name="Check Box 38">
              <controlPr defaultSize="0" print="0" autoFill="0" autoLine="0" autoPict="0">
                <anchor moveWithCells="1">
                  <from>
                    <xdr:col>16</xdr:col>
                    <xdr:colOff>276225</xdr:colOff>
                    <xdr:row>5</xdr:row>
                    <xdr:rowOff>0</xdr:rowOff>
                  </from>
                  <to>
                    <xdr:col>16</xdr:col>
                    <xdr:colOff>581025</xdr:colOff>
                    <xdr:row>5</xdr:row>
                    <xdr:rowOff>219075</xdr:rowOff>
                  </to>
                </anchor>
              </controlPr>
            </control>
          </mc:Choice>
        </mc:AlternateContent>
        <mc:AlternateContent xmlns:mc="http://schemas.openxmlformats.org/markup-compatibility/2006">
          <mc:Choice Requires="x14">
            <control shapeId="2087" r:id="rId5" name="Check Box 39">
              <controlPr defaultSize="0" print="0" autoFill="0" autoLine="0" autoPict="0">
                <anchor moveWithCells="1">
                  <from>
                    <xdr:col>16</xdr:col>
                    <xdr:colOff>276225</xdr:colOff>
                    <xdr:row>6</xdr:row>
                    <xdr:rowOff>0</xdr:rowOff>
                  </from>
                  <to>
                    <xdr:col>16</xdr:col>
                    <xdr:colOff>581025</xdr:colOff>
                    <xdr:row>6</xdr:row>
                    <xdr:rowOff>228600</xdr:rowOff>
                  </to>
                </anchor>
              </controlPr>
            </control>
          </mc:Choice>
        </mc:AlternateContent>
        <mc:AlternateContent xmlns:mc="http://schemas.openxmlformats.org/markup-compatibility/2006">
          <mc:Choice Requires="x14">
            <control shapeId="2088" r:id="rId6" name="Check Box 40">
              <controlPr defaultSize="0" print="0" autoFill="0" autoLine="0" autoPict="0">
                <anchor moveWithCells="1">
                  <from>
                    <xdr:col>16</xdr:col>
                    <xdr:colOff>276225</xdr:colOff>
                    <xdr:row>7</xdr:row>
                    <xdr:rowOff>0</xdr:rowOff>
                  </from>
                  <to>
                    <xdr:col>16</xdr:col>
                    <xdr:colOff>581025</xdr:colOff>
                    <xdr:row>7</xdr:row>
                    <xdr:rowOff>228600</xdr:rowOff>
                  </to>
                </anchor>
              </controlPr>
            </control>
          </mc:Choice>
        </mc:AlternateContent>
        <mc:AlternateContent xmlns:mc="http://schemas.openxmlformats.org/markup-compatibility/2006">
          <mc:Choice Requires="x14">
            <control shapeId="2089" r:id="rId7" name="Check Box 41">
              <controlPr defaultSize="0" print="0" autoFill="0" autoLine="0" autoPict="0">
                <anchor moveWithCells="1">
                  <from>
                    <xdr:col>16</xdr:col>
                    <xdr:colOff>276225</xdr:colOff>
                    <xdr:row>8</xdr:row>
                    <xdr:rowOff>0</xdr:rowOff>
                  </from>
                  <to>
                    <xdr:col>16</xdr:col>
                    <xdr:colOff>581025</xdr:colOff>
                    <xdr:row>8</xdr:row>
                    <xdr:rowOff>228600</xdr:rowOff>
                  </to>
                </anchor>
              </controlPr>
            </control>
          </mc:Choice>
        </mc:AlternateContent>
        <mc:AlternateContent xmlns:mc="http://schemas.openxmlformats.org/markup-compatibility/2006">
          <mc:Choice Requires="x14">
            <control shapeId="2090" r:id="rId8" name="Check Box 42">
              <controlPr defaultSize="0" print="0" autoFill="0" autoLine="0" autoPict="0">
                <anchor moveWithCells="1">
                  <from>
                    <xdr:col>16</xdr:col>
                    <xdr:colOff>276225</xdr:colOff>
                    <xdr:row>9</xdr:row>
                    <xdr:rowOff>0</xdr:rowOff>
                  </from>
                  <to>
                    <xdr:col>16</xdr:col>
                    <xdr:colOff>581025</xdr:colOff>
                    <xdr:row>9</xdr:row>
                    <xdr:rowOff>228600</xdr:rowOff>
                  </to>
                </anchor>
              </controlPr>
            </control>
          </mc:Choice>
        </mc:AlternateContent>
        <mc:AlternateContent xmlns:mc="http://schemas.openxmlformats.org/markup-compatibility/2006">
          <mc:Choice Requires="x14">
            <control shapeId="2091" r:id="rId9" name="Check Box 43">
              <controlPr defaultSize="0" print="0" autoFill="0" autoLine="0" autoPict="0">
                <anchor moveWithCells="1">
                  <from>
                    <xdr:col>16</xdr:col>
                    <xdr:colOff>276225</xdr:colOff>
                    <xdr:row>10</xdr:row>
                    <xdr:rowOff>0</xdr:rowOff>
                  </from>
                  <to>
                    <xdr:col>16</xdr:col>
                    <xdr:colOff>581025</xdr:colOff>
                    <xdr:row>10</xdr:row>
                    <xdr:rowOff>228600</xdr:rowOff>
                  </to>
                </anchor>
              </controlPr>
            </control>
          </mc:Choice>
        </mc:AlternateContent>
        <mc:AlternateContent xmlns:mc="http://schemas.openxmlformats.org/markup-compatibility/2006">
          <mc:Choice Requires="x14">
            <control shapeId="2092" r:id="rId10" name="Check Box 44">
              <controlPr defaultSize="0" print="0" autoFill="0" autoLine="0" autoPict="0">
                <anchor moveWithCells="1">
                  <from>
                    <xdr:col>16</xdr:col>
                    <xdr:colOff>276225</xdr:colOff>
                    <xdr:row>11</xdr:row>
                    <xdr:rowOff>0</xdr:rowOff>
                  </from>
                  <to>
                    <xdr:col>16</xdr:col>
                    <xdr:colOff>581025</xdr:colOff>
                    <xdr:row>11</xdr:row>
                    <xdr:rowOff>228600</xdr:rowOff>
                  </to>
                </anchor>
              </controlPr>
            </control>
          </mc:Choice>
        </mc:AlternateContent>
        <mc:AlternateContent xmlns:mc="http://schemas.openxmlformats.org/markup-compatibility/2006">
          <mc:Choice Requires="x14">
            <control shapeId="2093" r:id="rId11" name="Check Box 45">
              <controlPr defaultSize="0" print="0" autoFill="0" autoLine="0" autoPict="0">
                <anchor moveWithCells="1">
                  <from>
                    <xdr:col>16</xdr:col>
                    <xdr:colOff>276225</xdr:colOff>
                    <xdr:row>12</xdr:row>
                    <xdr:rowOff>0</xdr:rowOff>
                  </from>
                  <to>
                    <xdr:col>16</xdr:col>
                    <xdr:colOff>581025</xdr:colOff>
                    <xdr:row>12</xdr:row>
                    <xdr:rowOff>228600</xdr:rowOff>
                  </to>
                </anchor>
              </controlPr>
            </control>
          </mc:Choice>
        </mc:AlternateContent>
        <mc:AlternateContent xmlns:mc="http://schemas.openxmlformats.org/markup-compatibility/2006">
          <mc:Choice Requires="x14">
            <control shapeId="2094" r:id="rId12" name="Check Box 46">
              <controlPr defaultSize="0" print="0" autoFill="0" autoLine="0" autoPict="0">
                <anchor moveWithCells="1">
                  <from>
                    <xdr:col>16</xdr:col>
                    <xdr:colOff>276225</xdr:colOff>
                    <xdr:row>13</xdr:row>
                    <xdr:rowOff>0</xdr:rowOff>
                  </from>
                  <to>
                    <xdr:col>16</xdr:col>
                    <xdr:colOff>581025</xdr:colOff>
                    <xdr:row>13</xdr:row>
                    <xdr:rowOff>228600</xdr:rowOff>
                  </to>
                </anchor>
              </controlPr>
            </control>
          </mc:Choice>
        </mc:AlternateContent>
        <mc:AlternateContent xmlns:mc="http://schemas.openxmlformats.org/markup-compatibility/2006">
          <mc:Choice Requires="x14">
            <control shapeId="2095" r:id="rId13" name="Check Box 47">
              <controlPr defaultSize="0" print="0" autoFill="0" autoLine="0" autoPict="0">
                <anchor moveWithCells="1">
                  <from>
                    <xdr:col>16</xdr:col>
                    <xdr:colOff>276225</xdr:colOff>
                    <xdr:row>14</xdr:row>
                    <xdr:rowOff>0</xdr:rowOff>
                  </from>
                  <to>
                    <xdr:col>16</xdr:col>
                    <xdr:colOff>581025</xdr:colOff>
                    <xdr:row>14</xdr:row>
                    <xdr:rowOff>228600</xdr:rowOff>
                  </to>
                </anchor>
              </controlPr>
            </control>
          </mc:Choice>
        </mc:AlternateContent>
        <mc:AlternateContent xmlns:mc="http://schemas.openxmlformats.org/markup-compatibility/2006">
          <mc:Choice Requires="x14">
            <control shapeId="2096" r:id="rId14" name="Check Box 48">
              <controlPr defaultSize="0" print="0" autoFill="0" autoLine="0" autoPict="0">
                <anchor moveWithCells="1">
                  <from>
                    <xdr:col>16</xdr:col>
                    <xdr:colOff>276225</xdr:colOff>
                    <xdr:row>15</xdr:row>
                    <xdr:rowOff>0</xdr:rowOff>
                  </from>
                  <to>
                    <xdr:col>16</xdr:col>
                    <xdr:colOff>581025</xdr:colOff>
                    <xdr:row>15</xdr:row>
                    <xdr:rowOff>228600</xdr:rowOff>
                  </to>
                </anchor>
              </controlPr>
            </control>
          </mc:Choice>
        </mc:AlternateContent>
        <mc:AlternateContent xmlns:mc="http://schemas.openxmlformats.org/markup-compatibility/2006">
          <mc:Choice Requires="x14">
            <control shapeId="2097" r:id="rId15" name="Check Box 49">
              <controlPr defaultSize="0" print="0" autoFill="0" autoLine="0" autoPict="0">
                <anchor moveWithCells="1">
                  <from>
                    <xdr:col>16</xdr:col>
                    <xdr:colOff>276225</xdr:colOff>
                    <xdr:row>16</xdr:row>
                    <xdr:rowOff>0</xdr:rowOff>
                  </from>
                  <to>
                    <xdr:col>16</xdr:col>
                    <xdr:colOff>581025</xdr:colOff>
                    <xdr:row>16</xdr:row>
                    <xdr:rowOff>228600</xdr:rowOff>
                  </to>
                </anchor>
              </controlPr>
            </control>
          </mc:Choice>
        </mc:AlternateContent>
        <mc:AlternateContent xmlns:mc="http://schemas.openxmlformats.org/markup-compatibility/2006">
          <mc:Choice Requires="x14">
            <control shapeId="2098" r:id="rId16" name="Check Box 50">
              <controlPr defaultSize="0" print="0" autoFill="0" autoLine="0" autoPict="0">
                <anchor moveWithCells="1">
                  <from>
                    <xdr:col>16</xdr:col>
                    <xdr:colOff>276225</xdr:colOff>
                    <xdr:row>17</xdr:row>
                    <xdr:rowOff>0</xdr:rowOff>
                  </from>
                  <to>
                    <xdr:col>16</xdr:col>
                    <xdr:colOff>581025</xdr:colOff>
                    <xdr:row>17</xdr:row>
                    <xdr:rowOff>228600</xdr:rowOff>
                  </to>
                </anchor>
              </controlPr>
            </control>
          </mc:Choice>
        </mc:AlternateContent>
        <mc:AlternateContent xmlns:mc="http://schemas.openxmlformats.org/markup-compatibility/2006">
          <mc:Choice Requires="x14">
            <control shapeId="2099" r:id="rId17" name="Check Box 51">
              <controlPr defaultSize="0" print="0" autoFill="0" autoLine="0" autoPict="0">
                <anchor moveWithCells="1">
                  <from>
                    <xdr:col>16</xdr:col>
                    <xdr:colOff>276225</xdr:colOff>
                    <xdr:row>18</xdr:row>
                    <xdr:rowOff>0</xdr:rowOff>
                  </from>
                  <to>
                    <xdr:col>16</xdr:col>
                    <xdr:colOff>581025</xdr:colOff>
                    <xdr:row>18</xdr:row>
                    <xdr:rowOff>228600</xdr:rowOff>
                  </to>
                </anchor>
              </controlPr>
            </control>
          </mc:Choice>
        </mc:AlternateContent>
        <mc:AlternateContent xmlns:mc="http://schemas.openxmlformats.org/markup-compatibility/2006">
          <mc:Choice Requires="x14">
            <control shapeId="2100" r:id="rId18" name="Check Box 52">
              <controlPr defaultSize="0" print="0" autoFill="0" autoLine="0" autoPict="0">
                <anchor moveWithCells="1">
                  <from>
                    <xdr:col>16</xdr:col>
                    <xdr:colOff>276225</xdr:colOff>
                    <xdr:row>19</xdr:row>
                    <xdr:rowOff>0</xdr:rowOff>
                  </from>
                  <to>
                    <xdr:col>16</xdr:col>
                    <xdr:colOff>581025</xdr:colOff>
                    <xdr:row>19</xdr:row>
                    <xdr:rowOff>228600</xdr:rowOff>
                  </to>
                </anchor>
              </controlPr>
            </control>
          </mc:Choice>
        </mc:AlternateContent>
        <mc:AlternateContent xmlns:mc="http://schemas.openxmlformats.org/markup-compatibility/2006">
          <mc:Choice Requires="x14">
            <control shapeId="2101" r:id="rId19" name="Check Box 53">
              <controlPr defaultSize="0" print="0" autoFill="0" autoLine="0" autoPict="0">
                <anchor moveWithCells="1">
                  <from>
                    <xdr:col>16</xdr:col>
                    <xdr:colOff>276225</xdr:colOff>
                    <xdr:row>20</xdr:row>
                    <xdr:rowOff>0</xdr:rowOff>
                  </from>
                  <to>
                    <xdr:col>16</xdr:col>
                    <xdr:colOff>581025</xdr:colOff>
                    <xdr:row>20</xdr:row>
                    <xdr:rowOff>228600</xdr:rowOff>
                  </to>
                </anchor>
              </controlPr>
            </control>
          </mc:Choice>
        </mc:AlternateContent>
        <mc:AlternateContent xmlns:mc="http://schemas.openxmlformats.org/markup-compatibility/2006">
          <mc:Choice Requires="x14">
            <control shapeId="2102" r:id="rId20" name="Check Box 54">
              <controlPr defaultSize="0" print="0" autoFill="0" autoLine="0" autoPict="0">
                <anchor moveWithCells="1">
                  <from>
                    <xdr:col>16</xdr:col>
                    <xdr:colOff>276225</xdr:colOff>
                    <xdr:row>21</xdr:row>
                    <xdr:rowOff>0</xdr:rowOff>
                  </from>
                  <to>
                    <xdr:col>16</xdr:col>
                    <xdr:colOff>581025</xdr:colOff>
                    <xdr:row>21</xdr:row>
                    <xdr:rowOff>228600</xdr:rowOff>
                  </to>
                </anchor>
              </controlPr>
            </control>
          </mc:Choice>
        </mc:AlternateContent>
        <mc:AlternateContent xmlns:mc="http://schemas.openxmlformats.org/markup-compatibility/2006">
          <mc:Choice Requires="x14">
            <control shapeId="2103" r:id="rId21" name="Check Box 55">
              <controlPr defaultSize="0" print="0" autoFill="0" autoLine="0" autoPict="0">
                <anchor moveWithCells="1">
                  <from>
                    <xdr:col>16</xdr:col>
                    <xdr:colOff>276225</xdr:colOff>
                    <xdr:row>22</xdr:row>
                    <xdr:rowOff>0</xdr:rowOff>
                  </from>
                  <to>
                    <xdr:col>16</xdr:col>
                    <xdr:colOff>581025</xdr:colOff>
                    <xdr:row>22</xdr:row>
                    <xdr:rowOff>228600</xdr:rowOff>
                  </to>
                </anchor>
              </controlPr>
            </control>
          </mc:Choice>
        </mc:AlternateContent>
        <mc:AlternateContent xmlns:mc="http://schemas.openxmlformats.org/markup-compatibility/2006">
          <mc:Choice Requires="x14">
            <control shapeId="2104" r:id="rId22" name="Check Box 56">
              <controlPr defaultSize="0" print="0" autoFill="0" autoLine="0" autoPict="0">
                <anchor moveWithCells="1">
                  <from>
                    <xdr:col>16</xdr:col>
                    <xdr:colOff>276225</xdr:colOff>
                    <xdr:row>23</xdr:row>
                    <xdr:rowOff>0</xdr:rowOff>
                  </from>
                  <to>
                    <xdr:col>16</xdr:col>
                    <xdr:colOff>581025</xdr:colOff>
                    <xdr:row>23</xdr:row>
                    <xdr:rowOff>228600</xdr:rowOff>
                  </to>
                </anchor>
              </controlPr>
            </control>
          </mc:Choice>
        </mc:AlternateContent>
        <mc:AlternateContent xmlns:mc="http://schemas.openxmlformats.org/markup-compatibility/2006">
          <mc:Choice Requires="x14">
            <control shapeId="2105" r:id="rId23" name="Check Box 57">
              <controlPr defaultSize="0" print="0" autoFill="0" autoLine="0" autoPict="0">
                <anchor moveWithCells="1">
                  <from>
                    <xdr:col>16</xdr:col>
                    <xdr:colOff>276225</xdr:colOff>
                    <xdr:row>24</xdr:row>
                    <xdr:rowOff>0</xdr:rowOff>
                  </from>
                  <to>
                    <xdr:col>16</xdr:col>
                    <xdr:colOff>581025</xdr:colOff>
                    <xdr:row>24</xdr:row>
                    <xdr:rowOff>228600</xdr:rowOff>
                  </to>
                </anchor>
              </controlPr>
            </control>
          </mc:Choice>
        </mc:AlternateContent>
        <mc:AlternateContent xmlns:mc="http://schemas.openxmlformats.org/markup-compatibility/2006">
          <mc:Choice Requires="x14">
            <control shapeId="2106" r:id="rId24" name="Check Box 58">
              <controlPr defaultSize="0" print="0" autoFill="0" autoLine="0" autoPict="0">
                <anchor moveWithCells="1">
                  <from>
                    <xdr:col>16</xdr:col>
                    <xdr:colOff>276225</xdr:colOff>
                    <xdr:row>25</xdr:row>
                    <xdr:rowOff>0</xdr:rowOff>
                  </from>
                  <to>
                    <xdr:col>16</xdr:col>
                    <xdr:colOff>581025</xdr:colOff>
                    <xdr:row>25</xdr:row>
                    <xdr:rowOff>228600</xdr:rowOff>
                  </to>
                </anchor>
              </controlPr>
            </control>
          </mc:Choice>
        </mc:AlternateContent>
        <mc:AlternateContent xmlns:mc="http://schemas.openxmlformats.org/markup-compatibility/2006">
          <mc:Choice Requires="x14">
            <control shapeId="2107" r:id="rId25" name="Check Box 59">
              <controlPr defaultSize="0" print="0" autoFill="0" autoLine="0" autoPict="0">
                <anchor moveWithCells="1">
                  <from>
                    <xdr:col>16</xdr:col>
                    <xdr:colOff>276225</xdr:colOff>
                    <xdr:row>26</xdr:row>
                    <xdr:rowOff>0</xdr:rowOff>
                  </from>
                  <to>
                    <xdr:col>16</xdr:col>
                    <xdr:colOff>581025</xdr:colOff>
                    <xdr:row>26</xdr:row>
                    <xdr:rowOff>228600</xdr:rowOff>
                  </to>
                </anchor>
              </controlPr>
            </control>
          </mc:Choice>
        </mc:AlternateContent>
        <mc:AlternateContent xmlns:mc="http://schemas.openxmlformats.org/markup-compatibility/2006">
          <mc:Choice Requires="x14">
            <control shapeId="2108" r:id="rId26" name="Check Box 60">
              <controlPr defaultSize="0" print="0" autoFill="0" autoLine="0" autoPict="0">
                <anchor moveWithCells="1">
                  <from>
                    <xdr:col>16</xdr:col>
                    <xdr:colOff>276225</xdr:colOff>
                    <xdr:row>27</xdr:row>
                    <xdr:rowOff>0</xdr:rowOff>
                  </from>
                  <to>
                    <xdr:col>16</xdr:col>
                    <xdr:colOff>581025</xdr:colOff>
                    <xdr:row>27</xdr:row>
                    <xdr:rowOff>228600</xdr:rowOff>
                  </to>
                </anchor>
              </controlPr>
            </control>
          </mc:Choice>
        </mc:AlternateContent>
        <mc:AlternateContent xmlns:mc="http://schemas.openxmlformats.org/markup-compatibility/2006">
          <mc:Choice Requires="x14">
            <control shapeId="2109" r:id="rId27" name="Check Box 61">
              <controlPr defaultSize="0" print="0" autoFill="0" autoLine="0" autoPict="0">
                <anchor moveWithCells="1">
                  <from>
                    <xdr:col>16</xdr:col>
                    <xdr:colOff>276225</xdr:colOff>
                    <xdr:row>28</xdr:row>
                    <xdr:rowOff>0</xdr:rowOff>
                  </from>
                  <to>
                    <xdr:col>16</xdr:col>
                    <xdr:colOff>581025</xdr:colOff>
                    <xdr:row>28</xdr:row>
                    <xdr:rowOff>228600</xdr:rowOff>
                  </to>
                </anchor>
              </controlPr>
            </control>
          </mc:Choice>
        </mc:AlternateContent>
        <mc:AlternateContent xmlns:mc="http://schemas.openxmlformats.org/markup-compatibility/2006">
          <mc:Choice Requires="x14">
            <control shapeId="2113" r:id="rId28" name="Option Button 65">
              <controlPr defaultSize="0" autoFill="0" autoLine="0" autoPict="0">
                <anchor moveWithCells="1">
                  <from>
                    <xdr:col>2</xdr:col>
                    <xdr:colOff>504825</xdr:colOff>
                    <xdr:row>12</xdr:row>
                    <xdr:rowOff>228600</xdr:rowOff>
                  </from>
                  <to>
                    <xdr:col>4</xdr:col>
                    <xdr:colOff>161925</xdr:colOff>
                    <xdr:row>13</xdr:row>
                    <xdr:rowOff>209550</xdr:rowOff>
                  </to>
                </anchor>
              </controlPr>
            </control>
          </mc:Choice>
        </mc:AlternateContent>
        <mc:AlternateContent xmlns:mc="http://schemas.openxmlformats.org/markup-compatibility/2006">
          <mc:Choice Requires="x14">
            <control shapeId="2114" r:id="rId29" name="Option Button 66">
              <controlPr defaultSize="0" autoFill="0" autoLine="0" autoPict="0">
                <anchor moveWithCells="1">
                  <from>
                    <xdr:col>2</xdr:col>
                    <xdr:colOff>504825</xdr:colOff>
                    <xdr:row>12</xdr:row>
                    <xdr:rowOff>9525</xdr:rowOff>
                  </from>
                  <to>
                    <xdr:col>4</xdr:col>
                    <xdr:colOff>304800</xdr:colOff>
                    <xdr:row>12</xdr:row>
                    <xdr:rowOff>228600</xdr:rowOff>
                  </to>
                </anchor>
              </controlPr>
            </control>
          </mc:Choice>
        </mc:AlternateContent>
        <mc:AlternateContent xmlns:mc="http://schemas.openxmlformats.org/markup-compatibility/2006">
          <mc:Choice Requires="x14">
            <control shapeId="2115" r:id="rId30" name="Option Button 67">
              <controlPr defaultSize="0" autoFill="0" autoLine="0" autoPict="0">
                <anchor moveWithCells="1">
                  <from>
                    <xdr:col>2</xdr:col>
                    <xdr:colOff>504825</xdr:colOff>
                    <xdr:row>13</xdr:row>
                    <xdr:rowOff>219075</xdr:rowOff>
                  </from>
                  <to>
                    <xdr:col>4</xdr:col>
                    <xdr:colOff>161925</xdr:colOff>
                    <xdr:row>14</xdr:row>
                    <xdr:rowOff>200025</xdr:rowOff>
                  </to>
                </anchor>
              </controlPr>
            </control>
          </mc:Choice>
        </mc:AlternateContent>
        <mc:AlternateContent xmlns:mc="http://schemas.openxmlformats.org/markup-compatibility/2006">
          <mc:Choice Requires="x14">
            <control shapeId="2129" r:id="rId31" name="Option Button 81">
              <controlPr defaultSize="0" autoFill="0" autoLine="0" autoPict="0" macro="[0]!JOG">
                <anchor moveWithCells="1">
                  <from>
                    <xdr:col>11</xdr:col>
                    <xdr:colOff>228600</xdr:colOff>
                    <xdr:row>2</xdr:row>
                    <xdr:rowOff>123825</xdr:rowOff>
                  </from>
                  <to>
                    <xdr:col>12</xdr:col>
                    <xdr:colOff>571500</xdr:colOff>
                    <xdr:row>3</xdr:row>
                    <xdr:rowOff>104775</xdr:rowOff>
                  </to>
                </anchor>
              </controlPr>
            </control>
          </mc:Choice>
        </mc:AlternateContent>
        <mc:AlternateContent xmlns:mc="http://schemas.openxmlformats.org/markup-compatibility/2006">
          <mc:Choice Requires="x14">
            <control shapeId="2130" r:id="rId32" name="Option Button 82">
              <controlPr defaultSize="0" autoFill="0" autoLine="0" autoPict="0" macro="[0]!EQUIPA">
                <anchor moveWithCells="1">
                  <from>
                    <xdr:col>12</xdr:col>
                    <xdr:colOff>609600</xdr:colOff>
                    <xdr:row>2</xdr:row>
                    <xdr:rowOff>123825</xdr:rowOff>
                  </from>
                  <to>
                    <xdr:col>12</xdr:col>
                    <xdr:colOff>1333500</xdr:colOff>
                    <xdr:row>3</xdr:row>
                    <xdr:rowOff>104775</xdr:rowOff>
                  </to>
                </anchor>
              </controlPr>
            </control>
          </mc:Choice>
        </mc:AlternateContent>
        <mc:AlternateContent xmlns:mc="http://schemas.openxmlformats.org/markup-compatibility/2006">
          <mc:Choice Requires="x14">
            <control shapeId="2131" r:id="rId33" name="Group Box 83">
              <controlPr defaultSize="0" print="0" autoFill="0" autoPict="0">
                <anchor moveWithCells="1">
                  <from>
                    <xdr:col>11</xdr:col>
                    <xdr:colOff>161925</xdr:colOff>
                    <xdr:row>2</xdr:row>
                    <xdr:rowOff>66675</xdr:rowOff>
                  </from>
                  <to>
                    <xdr:col>12</xdr:col>
                    <xdr:colOff>1400175</xdr:colOff>
                    <xdr:row>3</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5"/>
  <dimension ref="A1:O251"/>
  <sheetViews>
    <sheetView zoomScaleNormal="100" workbookViewId="0"/>
  </sheetViews>
  <sheetFormatPr defaultRowHeight="12.75" x14ac:dyDescent="0.2"/>
  <cols>
    <col min="1" max="1" width="24.25" style="144" customWidth="1"/>
    <col min="2" max="9" width="9" style="144"/>
    <col min="10" max="10" width="4.25" style="144" hidden="1" customWidth="1"/>
    <col min="11" max="11" width="4.25" style="145" hidden="1" customWidth="1"/>
    <col min="12" max="12" width="23.125" style="144" hidden="1" customWidth="1"/>
    <col min="13" max="15" width="5.75" style="144" hidden="1" customWidth="1"/>
    <col min="16" max="16384" width="9" style="144"/>
  </cols>
  <sheetData>
    <row r="1" spans="1:15" ht="28.5" x14ac:dyDescent="0.45">
      <c r="A1" s="149" t="s">
        <v>91</v>
      </c>
      <c r="B1" s="150"/>
      <c r="C1" s="150"/>
      <c r="D1" s="150"/>
    </row>
    <row r="2" spans="1:15" x14ac:dyDescent="0.2">
      <c r="A2" s="158"/>
      <c r="B2" s="150"/>
      <c r="C2" s="150"/>
      <c r="D2" s="150"/>
    </row>
    <row r="3" spans="1:15" ht="21" x14ac:dyDescent="0.35">
      <c r="A3" s="151" t="str">
        <f>CONFIGURAR!D9</f>
        <v>Xxxxxxx Xxxxxxxxxxxxx</v>
      </c>
      <c r="B3" s="152"/>
      <c r="C3" s="150"/>
      <c r="D3" s="150"/>
    </row>
    <row r="4" spans="1:15" x14ac:dyDescent="0.2">
      <c r="A4" s="150"/>
      <c r="B4" s="150"/>
      <c r="C4" s="150"/>
      <c r="D4" s="150"/>
    </row>
    <row r="5" spans="1:15" s="147" customFormat="1" ht="22.5" customHeight="1" x14ac:dyDescent="0.2">
      <c r="A5" s="317" t="str">
        <f>"Os alunos que constam da seguinte listagem, estiveram presentes no "&amp;CONFIGURAR!D9&amp;" realizado na "&amp;CONFIGURAR!D11&amp;", entre as "</f>
        <v xml:space="preserve">Os alunos que constam da seguinte listagem, estiveram presentes no Xxxxxxx Xxxxxxxxxxxxx realizado na Xxx Xxxxxxxxxxx, entre as </v>
      </c>
      <c r="B5" s="317"/>
      <c r="C5" s="317"/>
      <c r="D5" s="317"/>
      <c r="E5" s="148"/>
      <c r="F5" s="148"/>
      <c r="K5" s="146"/>
    </row>
    <row r="6" spans="1:15" s="147" customFormat="1" ht="22.5" customHeight="1" x14ac:dyDescent="0.2">
      <c r="A6" s="317"/>
      <c r="B6" s="317"/>
      <c r="C6" s="317"/>
      <c r="D6" s="317"/>
      <c r="E6" s="148"/>
      <c r="F6" s="148"/>
      <c r="K6" s="146"/>
    </row>
    <row r="7" spans="1:15" s="147" customFormat="1" ht="22.5" customHeight="1" x14ac:dyDescent="0.2">
      <c r="A7" s="317"/>
      <c r="B7" s="317"/>
      <c r="C7" s="317"/>
      <c r="D7" s="317"/>
      <c r="E7" s="148"/>
      <c r="F7" s="148"/>
      <c r="K7" s="146"/>
    </row>
    <row r="8" spans="1:15" ht="21" x14ac:dyDescent="0.35">
      <c r="A8" s="150"/>
      <c r="B8" s="153">
        <f>CONFIGURAR!D25</f>
        <v>0.35416666666666669</v>
      </c>
      <c r="C8" s="154" t="s">
        <v>92</v>
      </c>
      <c r="D8" s="155">
        <f>CONFIGURAR!D26</f>
        <v>0.5625</v>
      </c>
    </row>
    <row r="9" spans="1:15" ht="18.75" x14ac:dyDescent="0.3">
      <c r="A9" s="150"/>
      <c r="B9" s="154" t="s">
        <v>93</v>
      </c>
      <c r="C9" s="316">
        <f>CONFIGURAR!G10</f>
        <v>43523</v>
      </c>
      <c r="D9" s="316"/>
    </row>
    <row r="10" spans="1:15" x14ac:dyDescent="0.2">
      <c r="A10" s="150"/>
      <c r="B10" s="150"/>
      <c r="C10" s="150"/>
      <c r="D10" s="150"/>
    </row>
    <row r="11" spans="1:15" ht="13.5" thickBot="1" x14ac:dyDescent="0.25">
      <c r="A11" s="73" t="s">
        <v>32</v>
      </c>
      <c r="B11" s="161" t="s">
        <v>24</v>
      </c>
      <c r="C11" s="161" t="s">
        <v>25</v>
      </c>
      <c r="D11" s="161" t="s">
        <v>26</v>
      </c>
      <c r="K11" s="157"/>
      <c r="L11" s="73" t="s">
        <v>71</v>
      </c>
      <c r="M11" s="74" t="s">
        <v>24</v>
      </c>
      <c r="N11" s="74" t="s">
        <v>25</v>
      </c>
      <c r="O11" s="74" t="s">
        <v>26</v>
      </c>
    </row>
    <row r="12" spans="1:15" ht="18.75" customHeight="1" x14ac:dyDescent="0.2">
      <c r="A12" s="159" t="s">
        <v>104</v>
      </c>
      <c r="B12" s="83" t="s">
        <v>94</v>
      </c>
      <c r="C12" s="83" t="s">
        <v>94</v>
      </c>
      <c r="D12" s="83" t="s">
        <v>94</v>
      </c>
      <c r="J12" s="179"/>
      <c r="K12" s="180">
        <v>1</v>
      </c>
      <c r="L12" s="194" t="str">
        <f>IF(CONFIGURAR!$L$3=1,IF(CONFIGURAR!$M6="","",IF(CONFIGURAR!$AH6=TRUE,"",CONFIGURAR!M6)),IF(CONFIGURAR!$T6="","",CONFIGURAR!T6))</f>
        <v>A</v>
      </c>
      <c r="M12" s="193" t="str">
        <f>IF(CONFIGURAR!$L$3=1,IF(CONFIGURAR!$M6="","",IF(CONFIGURAR!$AH6=TRUE,"",IF(CONFIGURAR!N6="","",CONFIGURAR!N6))),IF(CONFIGURAR!$T6="","",IF(CONFIGURAR!U6="","",CONFIGURAR!U6)))</f>
        <v/>
      </c>
      <c r="N12" s="193" t="str">
        <f>IF(CONFIGURAR!$L$3=1,IF(CONFIGURAR!$M6="","",IF(CONFIGURAR!$AH6=TRUE,"",IF(CONFIGURAR!O6="","",CONFIGURAR!O6))),IF(CONFIGURAR!$T6="","",IF(CONFIGURAR!V6="","",CONFIGURAR!V6)))</f>
        <v/>
      </c>
      <c r="O12" s="193" t="str">
        <f>IF(CONFIGURAR!$L$3=1,IF(CONFIGURAR!$M6="","",IF(CONFIGURAR!$AH6=TRUE,"",IF(CONFIGURAR!P6="","",CONFIGURAR!P6))),IF(CONFIGURAR!$T6="","",IF(CONFIGURAR!W6="","",CONFIGURAR!W6)))</f>
        <v/>
      </c>
    </row>
    <row r="13" spans="1:15" ht="18.75" customHeight="1" x14ac:dyDescent="0.2">
      <c r="A13" s="159" t="s">
        <v>105</v>
      </c>
      <c r="B13" s="83" t="s">
        <v>94</v>
      </c>
      <c r="C13" s="83" t="s">
        <v>94</v>
      </c>
      <c r="D13" s="83" t="s">
        <v>94</v>
      </c>
      <c r="J13" s="179"/>
      <c r="K13" s="180">
        <v>2</v>
      </c>
      <c r="L13" s="291" t="str">
        <f>IF(CONFIGURAR!$L$3=1,IF(CONFIGURAR!$M7="","",IF(CONFIGURAR!$AH7=TRUE,"",CONFIGURAR!M7)),IF(CONFIGURAR!$T7="","",CONFIGURAR!T7))</f>
        <v>B</v>
      </c>
      <c r="M13" s="292" t="str">
        <f>IF(CONFIGURAR!$L$3=1,IF(CONFIGURAR!$M7="","",IF(CONFIGURAR!$AH7=TRUE,"",IF(CONFIGURAR!N7="","",CONFIGURAR!N7))),IF(CONFIGURAR!$T7="","",IF(CONFIGURAR!U7="","",CONFIGURAR!U7)))</f>
        <v/>
      </c>
      <c r="N13" s="292" t="str">
        <f>IF(CONFIGURAR!$L$3=1,IF(CONFIGURAR!$M7="","",IF(CONFIGURAR!$AH7=TRUE,"",IF(CONFIGURAR!O7="","",CONFIGURAR!O7))),IF(CONFIGURAR!$T7="","",IF(CONFIGURAR!V7="","",CONFIGURAR!V7)))</f>
        <v/>
      </c>
      <c r="O13" s="292" t="str">
        <f>IF(CONFIGURAR!$L$3=1,IF(CONFIGURAR!$M7="","",IF(CONFIGURAR!$AH7=TRUE,"",IF(CONFIGURAR!P7="","",CONFIGURAR!P7))),IF(CONFIGURAR!$T7="","",IF(CONFIGURAR!W7="","",CONFIGURAR!W7)))</f>
        <v/>
      </c>
    </row>
    <row r="14" spans="1:15" ht="18.75" customHeight="1" x14ac:dyDescent="0.2">
      <c r="A14" s="159" t="s">
        <v>106</v>
      </c>
      <c r="B14" s="83" t="s">
        <v>94</v>
      </c>
      <c r="C14" s="83" t="s">
        <v>94</v>
      </c>
      <c r="D14" s="83" t="s">
        <v>94</v>
      </c>
      <c r="J14" s="179"/>
      <c r="K14" s="180">
        <v>3</v>
      </c>
      <c r="L14" s="291" t="str">
        <f>IF(CONFIGURAR!$L$3=1,IF(CONFIGURAR!$M8="","",IF(CONFIGURAR!$AH8=TRUE,"",CONFIGURAR!M8)),IF(CONFIGURAR!$T8="","",CONFIGURAR!T8))</f>
        <v>C</v>
      </c>
      <c r="M14" s="292" t="str">
        <f>IF(CONFIGURAR!$L$3=1,IF(CONFIGURAR!$M8="","",IF(CONFIGURAR!$AH8=TRUE,"",IF(CONFIGURAR!N8="","",CONFIGURAR!N8))),IF(CONFIGURAR!$T8="","",IF(CONFIGURAR!U8="","",CONFIGURAR!U8)))</f>
        <v/>
      </c>
      <c r="N14" s="292" t="str">
        <f>IF(CONFIGURAR!$L$3=1,IF(CONFIGURAR!$M8="","",IF(CONFIGURAR!$AH8=TRUE,"",IF(CONFIGURAR!O8="","",CONFIGURAR!O8))),IF(CONFIGURAR!$T8="","",IF(CONFIGURAR!V8="","",CONFIGURAR!V8)))</f>
        <v/>
      </c>
      <c r="O14" s="292" t="str">
        <f>IF(CONFIGURAR!$L$3=1,IF(CONFIGURAR!$M8="","",IF(CONFIGURAR!$AH8=TRUE,"",IF(CONFIGURAR!P8="","",CONFIGURAR!P8))),IF(CONFIGURAR!$T8="","",IF(CONFIGURAR!W8="","",CONFIGURAR!W8)))</f>
        <v/>
      </c>
    </row>
    <row r="15" spans="1:15" ht="18.75" customHeight="1" x14ac:dyDescent="0.2">
      <c r="A15" s="159" t="s">
        <v>107</v>
      </c>
      <c r="B15" s="83" t="s">
        <v>94</v>
      </c>
      <c r="C15" s="83" t="s">
        <v>94</v>
      </c>
      <c r="D15" s="83" t="s">
        <v>94</v>
      </c>
      <c r="J15" s="179"/>
      <c r="K15" s="180">
        <v>4</v>
      </c>
      <c r="L15" s="291" t="str">
        <f>IF(CONFIGURAR!$L$3=1,IF(CONFIGURAR!$M9="","",IF(CONFIGURAR!$AH9=TRUE,"",CONFIGURAR!M9)),IF(CONFIGURAR!$T9="","",CONFIGURAR!T9))</f>
        <v>D</v>
      </c>
      <c r="M15" s="292" t="str">
        <f>IF(CONFIGURAR!$L$3=1,IF(CONFIGURAR!$M9="","",IF(CONFIGURAR!$AH9=TRUE,"",IF(CONFIGURAR!N9="","",CONFIGURAR!N9))),IF(CONFIGURAR!$T9="","",IF(CONFIGURAR!U9="","",CONFIGURAR!U9)))</f>
        <v/>
      </c>
      <c r="N15" s="292" t="str">
        <f>IF(CONFIGURAR!$L$3=1,IF(CONFIGURAR!$M9="","",IF(CONFIGURAR!$AH9=TRUE,"",IF(CONFIGURAR!O9="","",CONFIGURAR!O9))),IF(CONFIGURAR!$T9="","",IF(CONFIGURAR!V9="","",CONFIGURAR!V9)))</f>
        <v/>
      </c>
      <c r="O15" s="292" t="str">
        <f>IF(CONFIGURAR!$L$3=1,IF(CONFIGURAR!$M9="","",IF(CONFIGURAR!$AH9=TRUE,"",IF(CONFIGURAR!P9="","",CONFIGURAR!P9))),IF(CONFIGURAR!$T9="","",IF(CONFIGURAR!W9="","",CONFIGURAR!W9)))</f>
        <v/>
      </c>
    </row>
    <row r="16" spans="1:15" ht="18.75" customHeight="1" x14ac:dyDescent="0.2">
      <c r="A16" s="159" t="s">
        <v>108</v>
      </c>
      <c r="B16" s="83" t="s">
        <v>94</v>
      </c>
      <c r="C16" s="83" t="s">
        <v>94</v>
      </c>
      <c r="D16" s="83" t="s">
        <v>94</v>
      </c>
      <c r="J16" s="179"/>
      <c r="K16" s="180">
        <v>5</v>
      </c>
      <c r="L16" s="291" t="str">
        <f>IF(CONFIGURAR!$L$3=1,IF(CONFIGURAR!$M10="","",IF(CONFIGURAR!$AH10=TRUE,"",CONFIGURAR!M10)),IF(CONFIGURAR!$T10="","",CONFIGURAR!T10))</f>
        <v>E</v>
      </c>
      <c r="M16" s="292" t="str">
        <f>IF(CONFIGURAR!$L$3=1,IF(CONFIGURAR!$M10="","",IF(CONFIGURAR!$AH10=TRUE,"",IF(CONFIGURAR!N10="","",CONFIGURAR!N10))),IF(CONFIGURAR!$T10="","",IF(CONFIGURAR!U10="","",CONFIGURAR!U10)))</f>
        <v/>
      </c>
      <c r="N16" s="292" t="str">
        <f>IF(CONFIGURAR!$L$3=1,IF(CONFIGURAR!$M10="","",IF(CONFIGURAR!$AH10=TRUE,"",IF(CONFIGURAR!O10="","",CONFIGURAR!O10))),IF(CONFIGURAR!$T10="","",IF(CONFIGURAR!V10="","",CONFIGURAR!V10)))</f>
        <v/>
      </c>
      <c r="O16" s="292" t="str">
        <f>IF(CONFIGURAR!$L$3=1,IF(CONFIGURAR!$M10="","",IF(CONFIGURAR!$AH10=TRUE,"",IF(CONFIGURAR!P10="","",CONFIGURAR!P10))),IF(CONFIGURAR!$T10="","",IF(CONFIGURAR!W10="","",CONFIGURAR!W10)))</f>
        <v/>
      </c>
    </row>
    <row r="17" spans="1:15" ht="18.75" customHeight="1" x14ac:dyDescent="0.2">
      <c r="A17" s="159" t="s">
        <v>109</v>
      </c>
      <c r="B17" s="83" t="s">
        <v>94</v>
      </c>
      <c r="C17" s="83" t="s">
        <v>94</v>
      </c>
      <c r="D17" s="83" t="s">
        <v>94</v>
      </c>
      <c r="J17" s="179"/>
      <c r="K17" s="180">
        <v>6</v>
      </c>
      <c r="L17" s="291" t="str">
        <f>IF(CONFIGURAR!$L$3=1,IF(CONFIGURAR!$M11="","",IF(CONFIGURAR!$AH11=TRUE,"",CONFIGURAR!M11)),IF(CONFIGURAR!$T11="","",CONFIGURAR!T11))</f>
        <v>F</v>
      </c>
      <c r="M17" s="292" t="str">
        <f>IF(CONFIGURAR!$L$3=1,IF(CONFIGURAR!$M11="","",IF(CONFIGURAR!$AH11=TRUE,"",IF(CONFIGURAR!N11="","",CONFIGURAR!N11))),IF(CONFIGURAR!$T11="","",IF(CONFIGURAR!U11="","",CONFIGURAR!U11)))</f>
        <v/>
      </c>
      <c r="N17" s="292" t="str">
        <f>IF(CONFIGURAR!$L$3=1,IF(CONFIGURAR!$M11="","",IF(CONFIGURAR!$AH11=TRUE,"",IF(CONFIGURAR!O11="","",CONFIGURAR!O11))),IF(CONFIGURAR!$T11="","",IF(CONFIGURAR!V11="","",CONFIGURAR!V11)))</f>
        <v/>
      </c>
      <c r="O17" s="292" t="str">
        <f>IF(CONFIGURAR!$L$3=1,IF(CONFIGURAR!$M11="","",IF(CONFIGURAR!$AH11=TRUE,"",IF(CONFIGURAR!P11="","",CONFIGURAR!P11))),IF(CONFIGURAR!$T11="","",IF(CONFIGURAR!W11="","",CONFIGURAR!W11)))</f>
        <v/>
      </c>
    </row>
    <row r="18" spans="1:15" ht="18.75" customHeight="1" x14ac:dyDescent="0.2">
      <c r="A18" s="159" t="s">
        <v>110</v>
      </c>
      <c r="B18" s="83" t="s">
        <v>94</v>
      </c>
      <c r="C18" s="83" t="s">
        <v>94</v>
      </c>
      <c r="D18" s="83" t="s">
        <v>94</v>
      </c>
      <c r="J18" s="179"/>
      <c r="K18" s="180">
        <v>7</v>
      </c>
      <c r="L18" s="291" t="str">
        <f>IF(CONFIGURAR!$L$3=1,IF(CONFIGURAR!$M12="","",IF(CONFIGURAR!$AH12=TRUE,"",CONFIGURAR!M12)),IF(CONFIGURAR!$T12="","",CONFIGURAR!T12))</f>
        <v>G</v>
      </c>
      <c r="M18" s="292" t="str">
        <f>IF(CONFIGURAR!$L$3=1,IF(CONFIGURAR!$M12="","",IF(CONFIGURAR!$AH12=TRUE,"",IF(CONFIGURAR!N12="","",CONFIGURAR!N12))),IF(CONFIGURAR!$T12="","",IF(CONFIGURAR!U12="","",CONFIGURAR!U12)))</f>
        <v/>
      </c>
      <c r="N18" s="292" t="str">
        <f>IF(CONFIGURAR!$L$3=1,IF(CONFIGURAR!$M12="","",IF(CONFIGURAR!$AH12=TRUE,"",IF(CONFIGURAR!O12="","",CONFIGURAR!O12))),IF(CONFIGURAR!$T12="","",IF(CONFIGURAR!V12="","",CONFIGURAR!V12)))</f>
        <v/>
      </c>
      <c r="O18" s="292" t="str">
        <f>IF(CONFIGURAR!$L$3=1,IF(CONFIGURAR!$M12="","",IF(CONFIGURAR!$AH12=TRUE,"",IF(CONFIGURAR!P12="","",CONFIGURAR!P12))),IF(CONFIGURAR!$T12="","",IF(CONFIGURAR!W12="","",CONFIGURAR!W12)))</f>
        <v/>
      </c>
    </row>
    <row r="19" spans="1:15" ht="18.75" customHeight="1" x14ac:dyDescent="0.2">
      <c r="A19" s="159" t="s">
        <v>111</v>
      </c>
      <c r="B19" s="83" t="s">
        <v>94</v>
      </c>
      <c r="C19" s="83" t="s">
        <v>94</v>
      </c>
      <c r="D19" s="83" t="s">
        <v>94</v>
      </c>
      <c r="J19" s="179"/>
      <c r="K19" s="180">
        <v>8</v>
      </c>
      <c r="L19" s="291" t="str">
        <f>IF(CONFIGURAR!$L$3=1,IF(CONFIGURAR!$M13="","",IF(CONFIGURAR!$AH13=TRUE,"",CONFIGURAR!M13)),IF(CONFIGURAR!$T13="","",CONFIGURAR!T13))</f>
        <v>H</v>
      </c>
      <c r="M19" s="292" t="str">
        <f>IF(CONFIGURAR!$L$3=1,IF(CONFIGURAR!$M13="","",IF(CONFIGURAR!$AH13=TRUE,"",IF(CONFIGURAR!N13="","",CONFIGURAR!N13))),IF(CONFIGURAR!$T13="","",IF(CONFIGURAR!U13="","",CONFIGURAR!U13)))</f>
        <v/>
      </c>
      <c r="N19" s="292" t="str">
        <f>IF(CONFIGURAR!$L$3=1,IF(CONFIGURAR!$M13="","",IF(CONFIGURAR!$AH13=TRUE,"",IF(CONFIGURAR!O13="","",CONFIGURAR!O13))),IF(CONFIGURAR!$T13="","",IF(CONFIGURAR!V13="","",CONFIGURAR!V13)))</f>
        <v/>
      </c>
      <c r="O19" s="292" t="str">
        <f>IF(CONFIGURAR!$L$3=1,IF(CONFIGURAR!$M13="","",IF(CONFIGURAR!$AH13=TRUE,"",IF(CONFIGURAR!P13="","",CONFIGURAR!P13))),IF(CONFIGURAR!$T13="","",IF(CONFIGURAR!W13="","",CONFIGURAR!W13)))</f>
        <v/>
      </c>
    </row>
    <row r="20" spans="1:15" ht="18.75" customHeight="1" x14ac:dyDescent="0.2">
      <c r="A20" s="159" t="s">
        <v>112</v>
      </c>
      <c r="B20" s="83" t="s">
        <v>94</v>
      </c>
      <c r="C20" s="83" t="s">
        <v>94</v>
      </c>
      <c r="D20" s="83" t="s">
        <v>94</v>
      </c>
      <c r="J20" s="179"/>
      <c r="K20" s="180">
        <v>9</v>
      </c>
      <c r="L20" s="291" t="str">
        <f>IF(CONFIGURAR!$L$3=1,IF(CONFIGURAR!$M14="","",IF(CONFIGURAR!$AH14=TRUE,"",CONFIGURAR!M14)),IF(CONFIGURAR!$T14="","",CONFIGURAR!T14))</f>
        <v>I</v>
      </c>
      <c r="M20" s="292" t="str">
        <f>IF(CONFIGURAR!$L$3=1,IF(CONFIGURAR!$M14="","",IF(CONFIGURAR!$AH14=TRUE,"",IF(CONFIGURAR!N14="","",CONFIGURAR!N14))),IF(CONFIGURAR!$T14="","",IF(CONFIGURAR!U14="","",CONFIGURAR!U14)))</f>
        <v/>
      </c>
      <c r="N20" s="292" t="str">
        <f>IF(CONFIGURAR!$L$3=1,IF(CONFIGURAR!$M14="","",IF(CONFIGURAR!$AH14=TRUE,"",IF(CONFIGURAR!O14="","",CONFIGURAR!O14))),IF(CONFIGURAR!$T14="","",IF(CONFIGURAR!V14="","",CONFIGURAR!V14)))</f>
        <v/>
      </c>
      <c r="O20" s="292" t="str">
        <f>IF(CONFIGURAR!$L$3=1,IF(CONFIGURAR!$M14="","",IF(CONFIGURAR!$AH14=TRUE,"",IF(CONFIGURAR!P14="","",CONFIGURAR!P14))),IF(CONFIGURAR!$T14="","",IF(CONFIGURAR!W14="","",CONFIGURAR!W14)))</f>
        <v/>
      </c>
    </row>
    <row r="21" spans="1:15" ht="18.75" customHeight="1" x14ac:dyDescent="0.2">
      <c r="A21" s="159" t="s">
        <v>113</v>
      </c>
      <c r="B21" s="83" t="s">
        <v>94</v>
      </c>
      <c r="C21" s="83" t="s">
        <v>94</v>
      </c>
      <c r="D21" s="83" t="s">
        <v>94</v>
      </c>
      <c r="J21" s="179"/>
      <c r="K21" s="180">
        <v>10</v>
      </c>
      <c r="L21" s="291" t="str">
        <f>IF(CONFIGURAR!$L$3=1,IF(CONFIGURAR!$M15="","",IF(CONFIGURAR!$AH15=TRUE,"",CONFIGURAR!M15)),IF(CONFIGURAR!$T15="","",CONFIGURAR!T15))</f>
        <v>J</v>
      </c>
      <c r="M21" s="292" t="str">
        <f>IF(CONFIGURAR!$L$3=1,IF(CONFIGURAR!$M15="","",IF(CONFIGURAR!$AH15=TRUE,"",IF(CONFIGURAR!N15="","",CONFIGURAR!N15))),IF(CONFIGURAR!$T15="","",IF(CONFIGURAR!U15="","",CONFIGURAR!U15)))</f>
        <v/>
      </c>
      <c r="N21" s="292" t="str">
        <f>IF(CONFIGURAR!$L$3=1,IF(CONFIGURAR!$M15="","",IF(CONFIGURAR!$AH15=TRUE,"",IF(CONFIGURAR!O15="","",CONFIGURAR!O15))),IF(CONFIGURAR!$T15="","",IF(CONFIGURAR!V15="","",CONFIGURAR!V15)))</f>
        <v/>
      </c>
      <c r="O21" s="292" t="str">
        <f>IF(CONFIGURAR!$L$3=1,IF(CONFIGURAR!$M15="","",IF(CONFIGURAR!$AH15=TRUE,"",IF(CONFIGURAR!P15="","",CONFIGURAR!P15))),IF(CONFIGURAR!$T15="","",IF(CONFIGURAR!W15="","",CONFIGURAR!W15)))</f>
        <v/>
      </c>
    </row>
    <row r="22" spans="1:15" ht="18.75" customHeight="1" x14ac:dyDescent="0.2">
      <c r="A22" s="159" t="s">
        <v>114</v>
      </c>
      <c r="B22" s="83" t="s">
        <v>94</v>
      </c>
      <c r="C22" s="83" t="s">
        <v>94</v>
      </c>
      <c r="D22" s="83" t="s">
        <v>94</v>
      </c>
      <c r="J22" s="179"/>
      <c r="K22" s="180">
        <v>11</v>
      </c>
      <c r="L22" s="291" t="str">
        <f>IF(CONFIGURAR!$L$3=1,IF(CONFIGURAR!$M16="","",IF(CONFIGURAR!$AH16=TRUE,"",CONFIGURAR!M16)),IF(CONFIGURAR!$T16="","",CONFIGURAR!T16))</f>
        <v>K</v>
      </c>
      <c r="M22" s="292" t="str">
        <f>IF(CONFIGURAR!$L$3=1,IF(CONFIGURAR!$M16="","",IF(CONFIGURAR!$AH16=TRUE,"",IF(CONFIGURAR!N16="","",CONFIGURAR!N16))),IF(CONFIGURAR!$T16="","",IF(CONFIGURAR!U16="","",CONFIGURAR!U16)))</f>
        <v/>
      </c>
      <c r="N22" s="292" t="str">
        <f>IF(CONFIGURAR!$L$3=1,IF(CONFIGURAR!$M16="","",IF(CONFIGURAR!$AH16=TRUE,"",IF(CONFIGURAR!O16="","",CONFIGURAR!O16))),IF(CONFIGURAR!$T16="","",IF(CONFIGURAR!V16="","",CONFIGURAR!V16)))</f>
        <v/>
      </c>
      <c r="O22" s="292" t="str">
        <f>IF(CONFIGURAR!$L$3=1,IF(CONFIGURAR!$M16="","",IF(CONFIGURAR!$AH16=TRUE,"",IF(CONFIGURAR!P16="","",CONFIGURAR!P16))),IF(CONFIGURAR!$T16="","",IF(CONFIGURAR!W16="","",CONFIGURAR!W16)))</f>
        <v/>
      </c>
    </row>
    <row r="23" spans="1:15" ht="18.75" customHeight="1" x14ac:dyDescent="0.2">
      <c r="A23" s="159" t="s">
        <v>115</v>
      </c>
      <c r="B23" s="83" t="s">
        <v>94</v>
      </c>
      <c r="C23" s="83" t="s">
        <v>94</v>
      </c>
      <c r="D23" s="83" t="s">
        <v>94</v>
      </c>
      <c r="J23" s="179"/>
      <c r="K23" s="180">
        <v>12</v>
      </c>
      <c r="L23" s="291" t="str">
        <f>IF(CONFIGURAR!$L$3=1,IF(CONFIGURAR!$M17="","",IF(CONFIGURAR!$AH17=TRUE,"",CONFIGURAR!M17)),IF(CONFIGURAR!$T17="","",CONFIGURAR!T17))</f>
        <v>L</v>
      </c>
      <c r="M23" s="292" t="str">
        <f>IF(CONFIGURAR!$L$3=1,IF(CONFIGURAR!$M17="","",IF(CONFIGURAR!$AH17=TRUE,"",IF(CONFIGURAR!N17="","",CONFIGURAR!N17))),IF(CONFIGURAR!$T17="","",IF(CONFIGURAR!U17="","",CONFIGURAR!U17)))</f>
        <v/>
      </c>
      <c r="N23" s="292" t="str">
        <f>IF(CONFIGURAR!$L$3=1,IF(CONFIGURAR!$M17="","",IF(CONFIGURAR!$AH17=TRUE,"",IF(CONFIGURAR!O17="","",CONFIGURAR!O17))),IF(CONFIGURAR!$T17="","",IF(CONFIGURAR!V17="","",CONFIGURAR!V17)))</f>
        <v/>
      </c>
      <c r="O23" s="292" t="str">
        <f>IF(CONFIGURAR!$L$3=1,IF(CONFIGURAR!$M17="","",IF(CONFIGURAR!$AH17=TRUE,"",IF(CONFIGURAR!P17="","",CONFIGURAR!P17))),IF(CONFIGURAR!$T17="","",IF(CONFIGURAR!W17="","",CONFIGURAR!W17)))</f>
        <v/>
      </c>
    </row>
    <row r="24" spans="1:15" ht="18.75" customHeight="1" x14ac:dyDescent="0.2">
      <c r="A24" s="159" t="s">
        <v>116</v>
      </c>
      <c r="B24" s="83" t="s">
        <v>94</v>
      </c>
      <c r="C24" s="83" t="s">
        <v>94</v>
      </c>
      <c r="D24" s="83" t="s">
        <v>94</v>
      </c>
      <c r="J24" s="179"/>
      <c r="K24" s="180">
        <v>13</v>
      </c>
      <c r="L24" s="291" t="str">
        <f>IF(CONFIGURAR!$L$3=1,IF(CONFIGURAR!$M18="","",IF(CONFIGURAR!$AH18=TRUE,"",CONFIGURAR!M18)),IF(CONFIGURAR!$T18="","",CONFIGURAR!T18))</f>
        <v>M</v>
      </c>
      <c r="M24" s="292" t="str">
        <f>IF(CONFIGURAR!$L$3=1,IF(CONFIGURAR!$M18="","",IF(CONFIGURAR!$AH18=TRUE,"",IF(CONFIGURAR!N18="","",CONFIGURAR!N18))),IF(CONFIGURAR!$T18="","",IF(CONFIGURAR!U18="","",CONFIGURAR!U18)))</f>
        <v/>
      </c>
      <c r="N24" s="292" t="str">
        <f>IF(CONFIGURAR!$L$3=1,IF(CONFIGURAR!$M18="","",IF(CONFIGURAR!$AH18=TRUE,"",IF(CONFIGURAR!O18="","",CONFIGURAR!O18))),IF(CONFIGURAR!$T18="","",IF(CONFIGURAR!V18="","",CONFIGURAR!V18)))</f>
        <v/>
      </c>
      <c r="O24" s="292" t="str">
        <f>IF(CONFIGURAR!$L$3=1,IF(CONFIGURAR!$M18="","",IF(CONFIGURAR!$AH18=TRUE,"",IF(CONFIGURAR!P18="","",CONFIGURAR!P18))),IF(CONFIGURAR!$T18="","",IF(CONFIGURAR!W18="","",CONFIGURAR!W18)))</f>
        <v/>
      </c>
    </row>
    <row r="25" spans="1:15" ht="18.75" customHeight="1" x14ac:dyDescent="0.2">
      <c r="A25" s="159" t="s">
        <v>117</v>
      </c>
      <c r="B25" s="83" t="s">
        <v>94</v>
      </c>
      <c r="C25" s="83" t="s">
        <v>94</v>
      </c>
      <c r="D25" s="83" t="s">
        <v>94</v>
      </c>
      <c r="J25" s="179"/>
      <c r="K25" s="180">
        <v>14</v>
      </c>
      <c r="L25" s="291" t="str">
        <f>IF(CONFIGURAR!$L$3=1,IF(CONFIGURAR!$M19="","",IF(CONFIGURAR!$AH19=TRUE,"",CONFIGURAR!M19)),IF(CONFIGURAR!$T19="","",CONFIGURAR!T19))</f>
        <v>N</v>
      </c>
      <c r="M25" s="292" t="str">
        <f>IF(CONFIGURAR!$L$3=1,IF(CONFIGURAR!$M19="","",IF(CONFIGURAR!$AH19=TRUE,"",IF(CONFIGURAR!N19="","",CONFIGURAR!N19))),IF(CONFIGURAR!$T19="","",IF(CONFIGURAR!U19="","",CONFIGURAR!U19)))</f>
        <v/>
      </c>
      <c r="N25" s="292" t="str">
        <f>IF(CONFIGURAR!$L$3=1,IF(CONFIGURAR!$M19="","",IF(CONFIGURAR!$AH19=TRUE,"",IF(CONFIGURAR!O19="","",CONFIGURAR!O19))),IF(CONFIGURAR!$T19="","",IF(CONFIGURAR!V19="","",CONFIGURAR!V19)))</f>
        <v/>
      </c>
      <c r="O25" s="292" t="str">
        <f>IF(CONFIGURAR!$L$3=1,IF(CONFIGURAR!$M19="","",IF(CONFIGURAR!$AH19=TRUE,"",IF(CONFIGURAR!P19="","",CONFIGURAR!P19))),IF(CONFIGURAR!$T19="","",IF(CONFIGURAR!W19="","",CONFIGURAR!W19)))</f>
        <v/>
      </c>
    </row>
    <row r="26" spans="1:15" ht="18.75" customHeight="1" x14ac:dyDescent="0.2">
      <c r="A26" s="159" t="s">
        <v>118</v>
      </c>
      <c r="B26" s="83" t="s">
        <v>94</v>
      </c>
      <c r="C26" s="83" t="s">
        <v>94</v>
      </c>
      <c r="D26" s="83" t="s">
        <v>94</v>
      </c>
      <c r="J26" s="179"/>
      <c r="K26" s="180">
        <v>15</v>
      </c>
      <c r="L26" s="291" t="str">
        <f>IF(CONFIGURAR!$L$3=1,IF(CONFIGURAR!$M20="","",IF(CONFIGURAR!$AH20=TRUE,"",CONFIGURAR!M20)),IF(CONFIGURAR!$T20="","",CONFIGURAR!T20))</f>
        <v>O</v>
      </c>
      <c r="M26" s="292" t="str">
        <f>IF(CONFIGURAR!$L$3=1,IF(CONFIGURAR!$M20="","",IF(CONFIGURAR!$AH20=TRUE,"",IF(CONFIGURAR!N20="","",CONFIGURAR!N20))),IF(CONFIGURAR!$T20="","",IF(CONFIGURAR!U20="","",CONFIGURAR!U20)))</f>
        <v/>
      </c>
      <c r="N26" s="292" t="str">
        <f>IF(CONFIGURAR!$L$3=1,IF(CONFIGURAR!$M20="","",IF(CONFIGURAR!$AH20=TRUE,"",IF(CONFIGURAR!O20="","",CONFIGURAR!O20))),IF(CONFIGURAR!$T20="","",IF(CONFIGURAR!V20="","",CONFIGURAR!V20)))</f>
        <v/>
      </c>
      <c r="O26" s="292" t="str">
        <f>IF(CONFIGURAR!$L$3=1,IF(CONFIGURAR!$M20="","",IF(CONFIGURAR!$AH20=TRUE,"",IF(CONFIGURAR!P20="","",CONFIGURAR!P20))),IF(CONFIGURAR!$T20="","",IF(CONFIGURAR!W20="","",CONFIGURAR!W20)))</f>
        <v/>
      </c>
    </row>
    <row r="27" spans="1:15" ht="18.75" customHeight="1" x14ac:dyDescent="0.2">
      <c r="A27" s="159" t="s">
        <v>119</v>
      </c>
      <c r="B27" s="83" t="s">
        <v>94</v>
      </c>
      <c r="C27" s="83" t="s">
        <v>94</v>
      </c>
      <c r="D27" s="83" t="s">
        <v>94</v>
      </c>
      <c r="J27" s="179"/>
      <c r="K27" s="180">
        <v>16</v>
      </c>
      <c r="L27" s="291" t="str">
        <f>IF(CONFIGURAR!$L$3=1,IF(CONFIGURAR!$M21="","",IF(CONFIGURAR!$AH21=TRUE,"",CONFIGURAR!M21)),IF(CONFIGURAR!$T21="","",CONFIGURAR!T21))</f>
        <v>P</v>
      </c>
      <c r="M27" s="292" t="str">
        <f>IF(CONFIGURAR!$L$3=1,IF(CONFIGURAR!$M21="","",IF(CONFIGURAR!$AH21=TRUE,"",IF(CONFIGURAR!N21="","",CONFIGURAR!N21))),IF(CONFIGURAR!$T21="","",IF(CONFIGURAR!U21="","",CONFIGURAR!U21)))</f>
        <v/>
      </c>
      <c r="N27" s="292" t="str">
        <f>IF(CONFIGURAR!$L$3=1,IF(CONFIGURAR!$M21="","",IF(CONFIGURAR!$AH21=TRUE,"",IF(CONFIGURAR!O21="","",CONFIGURAR!O21))),IF(CONFIGURAR!$T21="","",IF(CONFIGURAR!V21="","",CONFIGURAR!V21)))</f>
        <v/>
      </c>
      <c r="O27" s="292" t="str">
        <f>IF(CONFIGURAR!$L$3=1,IF(CONFIGURAR!$M21="","",IF(CONFIGURAR!$AH21=TRUE,"",IF(CONFIGURAR!P21="","",CONFIGURAR!P21))),IF(CONFIGURAR!$T21="","",IF(CONFIGURAR!W21="","",CONFIGURAR!W21)))</f>
        <v/>
      </c>
    </row>
    <row r="28" spans="1:15" ht="18.75" customHeight="1" x14ac:dyDescent="0.2">
      <c r="A28" s="159" t="s">
        <v>120</v>
      </c>
      <c r="B28" s="83" t="s">
        <v>94</v>
      </c>
      <c r="C28" s="83" t="s">
        <v>94</v>
      </c>
      <c r="D28" s="83" t="s">
        <v>94</v>
      </c>
      <c r="J28" s="179"/>
      <c r="K28" s="180">
        <v>17</v>
      </c>
      <c r="L28" s="291" t="str">
        <f>IF(CONFIGURAR!$L$3=1,IF(CONFIGURAR!$M22="","",IF(CONFIGURAR!$AH22=TRUE,"",CONFIGURAR!M22)),IF(CONFIGURAR!$T22="","",CONFIGURAR!T22))</f>
        <v>Q</v>
      </c>
      <c r="M28" s="292" t="str">
        <f>IF(CONFIGURAR!$L$3=1,IF(CONFIGURAR!$M22="","",IF(CONFIGURAR!$AH22=TRUE,"",IF(CONFIGURAR!N22="","",CONFIGURAR!N22))),IF(CONFIGURAR!$T22="","",IF(CONFIGURAR!U22="","",CONFIGURAR!U22)))</f>
        <v/>
      </c>
      <c r="N28" s="292" t="str">
        <f>IF(CONFIGURAR!$L$3=1,IF(CONFIGURAR!$M22="","",IF(CONFIGURAR!$AH22=TRUE,"",IF(CONFIGURAR!O22="","",CONFIGURAR!O22))),IF(CONFIGURAR!$T22="","",IF(CONFIGURAR!V22="","",CONFIGURAR!V22)))</f>
        <v/>
      </c>
      <c r="O28" s="292" t="str">
        <f>IF(CONFIGURAR!$L$3=1,IF(CONFIGURAR!$M22="","",IF(CONFIGURAR!$AH22=TRUE,"",IF(CONFIGURAR!P22="","",CONFIGURAR!P22))),IF(CONFIGURAR!$T22="","",IF(CONFIGURAR!W22="","",CONFIGURAR!W22)))</f>
        <v/>
      </c>
    </row>
    <row r="29" spans="1:15" ht="18.75" customHeight="1" x14ac:dyDescent="0.2">
      <c r="A29" s="159" t="s">
        <v>121</v>
      </c>
      <c r="B29" s="83" t="s">
        <v>94</v>
      </c>
      <c r="C29" s="83" t="s">
        <v>94</v>
      </c>
      <c r="D29" s="83" t="s">
        <v>94</v>
      </c>
      <c r="J29" s="179"/>
      <c r="K29" s="180">
        <v>18</v>
      </c>
      <c r="L29" s="291" t="str">
        <f>IF(CONFIGURAR!$L$3=1,IF(CONFIGURAR!$M23="","",IF(CONFIGURAR!$AH23=TRUE,"",CONFIGURAR!M23)),IF(CONFIGURAR!$T23="","",CONFIGURAR!T23))</f>
        <v>R</v>
      </c>
      <c r="M29" s="292" t="str">
        <f>IF(CONFIGURAR!$L$3=1,IF(CONFIGURAR!$M23="","",IF(CONFIGURAR!$AH23=TRUE,"",IF(CONFIGURAR!N23="","",CONFIGURAR!N23))),IF(CONFIGURAR!$T23="","",IF(CONFIGURAR!U23="","",CONFIGURAR!U23)))</f>
        <v/>
      </c>
      <c r="N29" s="292" t="str">
        <f>IF(CONFIGURAR!$L$3=1,IF(CONFIGURAR!$M23="","",IF(CONFIGURAR!$AH23=TRUE,"",IF(CONFIGURAR!O23="","",CONFIGURAR!O23))),IF(CONFIGURAR!$T23="","",IF(CONFIGURAR!V23="","",CONFIGURAR!V23)))</f>
        <v/>
      </c>
      <c r="O29" s="292" t="str">
        <f>IF(CONFIGURAR!$L$3=1,IF(CONFIGURAR!$M23="","",IF(CONFIGURAR!$AH23=TRUE,"",IF(CONFIGURAR!P23="","",CONFIGURAR!P23))),IF(CONFIGURAR!$T23="","",IF(CONFIGURAR!W23="","",CONFIGURAR!W23)))</f>
        <v/>
      </c>
    </row>
    <row r="30" spans="1:15" ht="18.75" customHeight="1" x14ac:dyDescent="0.2">
      <c r="A30" s="159" t="s">
        <v>122</v>
      </c>
      <c r="B30" s="83" t="s">
        <v>94</v>
      </c>
      <c r="C30" s="83" t="s">
        <v>94</v>
      </c>
      <c r="D30" s="83" t="s">
        <v>94</v>
      </c>
      <c r="J30" s="179"/>
      <c r="K30" s="180">
        <v>19</v>
      </c>
      <c r="L30" s="291" t="str">
        <f>IF(CONFIGURAR!$L$3=1,IF(CONFIGURAR!$M24="","",IF(CONFIGURAR!$AH24=TRUE,"",CONFIGURAR!M24)),IF(CONFIGURAR!$T24="","",CONFIGURAR!T24))</f>
        <v>S</v>
      </c>
      <c r="M30" s="292" t="str">
        <f>IF(CONFIGURAR!$L$3=1,IF(CONFIGURAR!$M24="","",IF(CONFIGURAR!$AH24=TRUE,"",IF(CONFIGURAR!N24="","",CONFIGURAR!N24))),IF(CONFIGURAR!$T24="","",IF(CONFIGURAR!U24="","",CONFIGURAR!U24)))</f>
        <v/>
      </c>
      <c r="N30" s="292" t="str">
        <f>IF(CONFIGURAR!$L$3=1,IF(CONFIGURAR!$M24="","",IF(CONFIGURAR!$AH24=TRUE,"",IF(CONFIGURAR!O24="","",CONFIGURAR!O24))),IF(CONFIGURAR!$T24="","",IF(CONFIGURAR!V24="","",CONFIGURAR!V24)))</f>
        <v/>
      </c>
      <c r="O30" s="292" t="str">
        <f>IF(CONFIGURAR!$L$3=1,IF(CONFIGURAR!$M24="","",IF(CONFIGURAR!$AH24=TRUE,"",IF(CONFIGURAR!P24="","",CONFIGURAR!P24))),IF(CONFIGURAR!$T24="","",IF(CONFIGURAR!W24="","",CONFIGURAR!W24)))</f>
        <v/>
      </c>
    </row>
    <row r="31" spans="1:15" ht="18.75" customHeight="1" x14ac:dyDescent="0.2">
      <c r="A31" s="159" t="s">
        <v>123</v>
      </c>
      <c r="B31" s="83" t="s">
        <v>94</v>
      </c>
      <c r="C31" s="83" t="s">
        <v>94</v>
      </c>
      <c r="D31" s="83" t="s">
        <v>94</v>
      </c>
      <c r="J31" s="179"/>
      <c r="K31" s="180">
        <v>20</v>
      </c>
      <c r="L31" s="291" t="str">
        <f>IF(CONFIGURAR!$L$3=1,IF(CONFIGURAR!$M25="","",IF(CONFIGURAR!$AH25=TRUE,"",CONFIGURAR!M25)),IF(CONFIGURAR!$T25="","",CONFIGURAR!T25))</f>
        <v>T</v>
      </c>
      <c r="M31" s="292" t="str">
        <f>IF(CONFIGURAR!$L$3=1,IF(CONFIGURAR!$M25="","",IF(CONFIGURAR!$AH25=TRUE,"",IF(CONFIGURAR!N25="","",CONFIGURAR!N25))),IF(CONFIGURAR!$T25="","",IF(CONFIGURAR!U25="","",CONFIGURAR!U25)))</f>
        <v/>
      </c>
      <c r="N31" s="292" t="str">
        <f>IF(CONFIGURAR!$L$3=1,IF(CONFIGURAR!$M25="","",IF(CONFIGURAR!$AH25=TRUE,"",IF(CONFIGURAR!O25="","",CONFIGURAR!O25))),IF(CONFIGURAR!$T25="","",IF(CONFIGURAR!V25="","",CONFIGURAR!V25)))</f>
        <v/>
      </c>
      <c r="O31" s="292" t="str">
        <f>IF(CONFIGURAR!$L$3=1,IF(CONFIGURAR!$M25="","",IF(CONFIGURAR!$AH25=TRUE,"",IF(CONFIGURAR!P25="","",CONFIGURAR!P25))),IF(CONFIGURAR!$T25="","",IF(CONFIGURAR!W25="","",CONFIGURAR!W25)))</f>
        <v/>
      </c>
    </row>
    <row r="32" spans="1:15" ht="18.75" customHeight="1" x14ac:dyDescent="0.2">
      <c r="A32" s="159" t="s">
        <v>124</v>
      </c>
      <c r="B32" s="83" t="s">
        <v>94</v>
      </c>
      <c r="C32" s="83" t="s">
        <v>94</v>
      </c>
      <c r="D32" s="83" t="s">
        <v>94</v>
      </c>
      <c r="J32" s="179"/>
      <c r="K32" s="180">
        <v>21</v>
      </c>
      <c r="L32" s="291" t="str">
        <f>IF(CONFIGURAR!$L$3=1,IF(CONFIGURAR!$M26="","",IF(CONFIGURAR!$AH26=TRUE,"",CONFIGURAR!M26)),IF(CONFIGURAR!$T26="","",CONFIGURAR!T26))</f>
        <v>U</v>
      </c>
      <c r="M32" s="292" t="str">
        <f>IF(CONFIGURAR!$L$3=1,IF(CONFIGURAR!$M26="","",IF(CONFIGURAR!$AH26=TRUE,"",IF(CONFIGURAR!N26="","",CONFIGURAR!N26))),IF(CONFIGURAR!$T26="","",IF(CONFIGURAR!U26="","",CONFIGURAR!U26)))</f>
        <v/>
      </c>
      <c r="N32" s="292" t="str">
        <f>IF(CONFIGURAR!$L$3=1,IF(CONFIGURAR!$M26="","",IF(CONFIGURAR!$AH26=TRUE,"",IF(CONFIGURAR!O26="","",CONFIGURAR!O26))),IF(CONFIGURAR!$T26="","",IF(CONFIGURAR!V26="","",CONFIGURAR!V26)))</f>
        <v/>
      </c>
      <c r="O32" s="292" t="str">
        <f>IF(CONFIGURAR!$L$3=1,IF(CONFIGURAR!$M26="","",IF(CONFIGURAR!$AH26=TRUE,"",IF(CONFIGURAR!P26="","",CONFIGURAR!P26))),IF(CONFIGURAR!$T26="","",IF(CONFIGURAR!W26="","",CONFIGURAR!W26)))</f>
        <v/>
      </c>
    </row>
    <row r="33" spans="1:15" ht="18.75" customHeight="1" x14ac:dyDescent="0.2">
      <c r="A33" s="159" t="s">
        <v>125</v>
      </c>
      <c r="B33" s="83" t="s">
        <v>94</v>
      </c>
      <c r="C33" s="83" t="s">
        <v>94</v>
      </c>
      <c r="D33" s="83" t="s">
        <v>94</v>
      </c>
      <c r="J33" s="179"/>
      <c r="K33" s="180">
        <v>22</v>
      </c>
      <c r="L33" s="291" t="str">
        <f>IF(CONFIGURAR!$L$3=1,IF(CONFIGURAR!$M27="","",IF(CONFIGURAR!$AH27=TRUE,"",CONFIGURAR!M27)),IF(CONFIGURAR!$T27="","",CONFIGURAR!T27))</f>
        <v>V</v>
      </c>
      <c r="M33" s="292" t="str">
        <f>IF(CONFIGURAR!$L$3=1,IF(CONFIGURAR!$M27="","",IF(CONFIGURAR!$AH27=TRUE,"",IF(CONFIGURAR!N27="","",CONFIGURAR!N27))),IF(CONFIGURAR!$T27="","",IF(CONFIGURAR!U27="","",CONFIGURAR!U27)))</f>
        <v/>
      </c>
      <c r="N33" s="292" t="str">
        <f>IF(CONFIGURAR!$L$3=1,IF(CONFIGURAR!$M27="","",IF(CONFIGURAR!$AH27=TRUE,"",IF(CONFIGURAR!O27="","",CONFIGURAR!O27))),IF(CONFIGURAR!$T27="","",IF(CONFIGURAR!V27="","",CONFIGURAR!V27)))</f>
        <v/>
      </c>
      <c r="O33" s="292" t="str">
        <f>IF(CONFIGURAR!$L$3=1,IF(CONFIGURAR!$M27="","",IF(CONFIGURAR!$AH27=TRUE,"",IF(CONFIGURAR!P27="","",CONFIGURAR!P27))),IF(CONFIGURAR!$T27="","",IF(CONFIGURAR!W27="","",CONFIGURAR!W27)))</f>
        <v/>
      </c>
    </row>
    <row r="34" spans="1:15" ht="18.75" customHeight="1" x14ac:dyDescent="0.2">
      <c r="A34" s="159" t="s">
        <v>126</v>
      </c>
      <c r="B34" s="83" t="s">
        <v>94</v>
      </c>
      <c r="C34" s="83" t="s">
        <v>94</v>
      </c>
      <c r="D34" s="83" t="s">
        <v>94</v>
      </c>
      <c r="J34" s="179"/>
      <c r="K34" s="180">
        <v>23</v>
      </c>
      <c r="L34" s="291" t="str">
        <f>IF(CONFIGURAR!$L$3=1,IF(CONFIGURAR!$M28="","",IF(CONFIGURAR!$AH28=TRUE,"",CONFIGURAR!M28)),IF(CONFIGURAR!$T28="","",CONFIGURAR!T28))</f>
        <v>W</v>
      </c>
      <c r="M34" s="292" t="str">
        <f>IF(CONFIGURAR!$L$3=1,IF(CONFIGURAR!$M28="","",IF(CONFIGURAR!$AH28=TRUE,"",IF(CONFIGURAR!N28="","",CONFIGURAR!N28))),IF(CONFIGURAR!$T28="","",IF(CONFIGURAR!U28="","",CONFIGURAR!U28)))</f>
        <v/>
      </c>
      <c r="N34" s="292" t="str">
        <f>IF(CONFIGURAR!$L$3=1,IF(CONFIGURAR!$M28="","",IF(CONFIGURAR!$AH28=TRUE,"",IF(CONFIGURAR!O28="","",CONFIGURAR!O28))),IF(CONFIGURAR!$T28="","",IF(CONFIGURAR!V28="","",CONFIGURAR!V28)))</f>
        <v/>
      </c>
      <c r="O34" s="292" t="str">
        <f>IF(CONFIGURAR!$L$3=1,IF(CONFIGURAR!$M28="","",IF(CONFIGURAR!$AH28=TRUE,"",IF(CONFIGURAR!P28="","",CONFIGURAR!P28))),IF(CONFIGURAR!$T28="","",IF(CONFIGURAR!W28="","",CONFIGURAR!W28)))</f>
        <v/>
      </c>
    </row>
    <row r="35" spans="1:15" ht="18.75" customHeight="1" thickBot="1" x14ac:dyDescent="0.25">
      <c r="A35" s="159" t="s">
        <v>127</v>
      </c>
      <c r="B35" s="83" t="s">
        <v>94</v>
      </c>
      <c r="C35" s="83" t="s">
        <v>94</v>
      </c>
      <c r="D35" s="83" t="s">
        <v>94</v>
      </c>
      <c r="J35" s="179"/>
      <c r="K35" s="181">
        <v>24</v>
      </c>
      <c r="L35" s="291" t="str">
        <f>IF(CONFIGURAR!$L$3=1,IF(CONFIGURAR!$M29="","",IF(CONFIGURAR!$AH29=TRUE,"",CONFIGURAR!M29)),IF(CONFIGURAR!$T29="","",CONFIGURAR!T29))</f>
        <v>X</v>
      </c>
      <c r="M35" s="292" t="str">
        <f>IF(CONFIGURAR!$L$3=1,IF(CONFIGURAR!$M29="","",IF(CONFIGURAR!$AH29=TRUE,"",IF(CONFIGURAR!N29="","",CONFIGURAR!N29))),IF(CONFIGURAR!$T29="","",IF(CONFIGURAR!U29="","",CONFIGURAR!U29)))</f>
        <v/>
      </c>
      <c r="N35" s="292" t="str">
        <f>IF(CONFIGURAR!$L$3=1,IF(CONFIGURAR!$M29="","",IF(CONFIGURAR!$AH29=TRUE,"",IF(CONFIGURAR!O29="","",CONFIGURAR!O29))),IF(CONFIGURAR!$T29="","",IF(CONFIGURAR!V29="","",CONFIGURAR!V29)))</f>
        <v/>
      </c>
      <c r="O35" s="292" t="str">
        <f>IF(CONFIGURAR!$L$3=1,IF(CONFIGURAR!$M29="","",IF(CONFIGURAR!$AH29=TRUE,"",IF(CONFIGURAR!P29="","",CONFIGURAR!P29))),IF(CONFIGURAR!$T29="","",IF(CONFIGURAR!W29="","",CONFIGURAR!W29)))</f>
        <v/>
      </c>
    </row>
    <row r="36" spans="1:15" ht="18.75" customHeight="1" x14ac:dyDescent="0.2">
      <c r="A36" s="159" t="s">
        <v>94</v>
      </c>
      <c r="B36" s="83" t="s">
        <v>94</v>
      </c>
      <c r="C36" s="83" t="s">
        <v>94</v>
      </c>
      <c r="D36" s="83" t="s">
        <v>94</v>
      </c>
      <c r="J36" s="179"/>
      <c r="K36" s="180"/>
      <c r="L36" s="291" t="str">
        <f>IF(CONFIGURAR!$L$3=1,IF(CONFIGURAR!$M30="","",IF(CONFIGURAR!$AH30=TRUE,"",CONFIGURAR!M30)),IF(CONFIGURAR!$T30="","",CONFIGURAR!T30))</f>
        <v/>
      </c>
      <c r="M36" s="292" t="str">
        <f>IF(CONFIGURAR!$L$3=1,IF(CONFIGURAR!$M30="","",IF(CONFIGURAR!$AH30=TRUE,"",IF(CONFIGURAR!N30="","",CONFIGURAR!N30))),IF(CONFIGURAR!$T30="","",IF(CONFIGURAR!U30="","",CONFIGURAR!U30)))</f>
        <v/>
      </c>
      <c r="N36" s="292" t="str">
        <f>IF(CONFIGURAR!$L$3=1,IF(CONFIGURAR!$M30="","",IF(CONFIGURAR!$AH30=TRUE,"",IF(CONFIGURAR!O30="","",CONFIGURAR!O30))),IF(CONFIGURAR!$T30="","",IF(CONFIGURAR!V30="","",CONFIGURAR!V30)))</f>
        <v/>
      </c>
      <c r="O36" s="292" t="str">
        <f>IF(CONFIGURAR!$L$3=1,IF(CONFIGURAR!$M30="","",IF(CONFIGURAR!$AH30=TRUE,"",IF(CONFIGURAR!P30="","",CONFIGURAR!P30))),IF(CONFIGURAR!$T30="","",IF(CONFIGURAR!W30="","",CONFIGURAR!W30)))</f>
        <v/>
      </c>
    </row>
    <row r="37" spans="1:15" ht="18.75" customHeight="1" x14ac:dyDescent="0.2">
      <c r="A37" s="159" t="s">
        <v>94</v>
      </c>
      <c r="B37" s="83" t="s">
        <v>94</v>
      </c>
      <c r="C37" s="83" t="s">
        <v>94</v>
      </c>
      <c r="D37" s="83" t="s">
        <v>94</v>
      </c>
      <c r="J37" s="179"/>
      <c r="K37" s="180"/>
      <c r="L37" s="291" t="str">
        <f>IF(CONFIGURAR!$L$3=1,IF(CONFIGURAR!$M31="","",IF(CONFIGURAR!$AH31=TRUE,"",CONFIGURAR!M31)),IF(CONFIGURAR!$T31="","",CONFIGURAR!T31))</f>
        <v/>
      </c>
      <c r="M37" s="292" t="str">
        <f>IF(CONFIGURAR!$L$3=1,IF(CONFIGURAR!$M31="","",IF(CONFIGURAR!$AH31=TRUE,"",IF(CONFIGURAR!N31="","",CONFIGURAR!N31))),IF(CONFIGURAR!$T31="","",IF(CONFIGURAR!U31="","",CONFIGURAR!U31)))</f>
        <v/>
      </c>
      <c r="N37" s="292" t="str">
        <f>IF(CONFIGURAR!$L$3=1,IF(CONFIGURAR!$M31="","",IF(CONFIGURAR!$AH31=TRUE,"",IF(CONFIGURAR!O31="","",CONFIGURAR!O31))),IF(CONFIGURAR!$T31="","",IF(CONFIGURAR!V31="","",CONFIGURAR!V31)))</f>
        <v/>
      </c>
      <c r="O37" s="292" t="str">
        <f>IF(CONFIGURAR!$L$3=1,IF(CONFIGURAR!$M31="","",IF(CONFIGURAR!$AH31=TRUE,"",IF(CONFIGURAR!P31="","",CONFIGURAR!P31))),IF(CONFIGURAR!$T31="","",IF(CONFIGURAR!W31="","",CONFIGURAR!W31)))</f>
        <v/>
      </c>
    </row>
    <row r="38" spans="1:15" ht="18.75" customHeight="1" x14ac:dyDescent="0.2">
      <c r="A38" s="159" t="s">
        <v>94</v>
      </c>
      <c r="B38" s="83" t="s">
        <v>94</v>
      </c>
      <c r="C38" s="83" t="s">
        <v>94</v>
      </c>
      <c r="D38" s="83" t="s">
        <v>94</v>
      </c>
      <c r="J38" s="179"/>
      <c r="K38" s="180"/>
      <c r="L38" s="291" t="str">
        <f>IF(CONFIGURAR!$L$3=1,IF(CONFIGURAR!$M32="","",IF(CONFIGURAR!$AH32=TRUE,"",CONFIGURAR!M32)),IF(CONFIGURAR!$T32="","",CONFIGURAR!T32))</f>
        <v/>
      </c>
      <c r="M38" s="292" t="str">
        <f>IF(CONFIGURAR!$L$3=1,IF(CONFIGURAR!$M32="","",IF(CONFIGURAR!$AH32=TRUE,"",IF(CONFIGURAR!N32="","",CONFIGURAR!N32))),IF(CONFIGURAR!$T32="","",IF(CONFIGURAR!U32="","",CONFIGURAR!U32)))</f>
        <v/>
      </c>
      <c r="N38" s="292" t="str">
        <f>IF(CONFIGURAR!$L$3=1,IF(CONFIGURAR!$M32="","",IF(CONFIGURAR!$AH32=TRUE,"",IF(CONFIGURAR!O32="","",CONFIGURAR!O32))),IF(CONFIGURAR!$T32="","",IF(CONFIGURAR!V32="","",CONFIGURAR!V32)))</f>
        <v/>
      </c>
      <c r="O38" s="292" t="str">
        <f>IF(CONFIGURAR!$L$3=1,IF(CONFIGURAR!$M32="","",IF(CONFIGURAR!$AH32=TRUE,"",IF(CONFIGURAR!P32="","",CONFIGURAR!P32))),IF(CONFIGURAR!$T32="","",IF(CONFIGURAR!W32="","",CONFIGURAR!W32)))</f>
        <v/>
      </c>
    </row>
    <row r="39" spans="1:15" ht="18.75" customHeight="1" x14ac:dyDescent="0.2">
      <c r="A39" s="159" t="s">
        <v>94</v>
      </c>
      <c r="B39" s="83" t="s">
        <v>94</v>
      </c>
      <c r="C39" s="83" t="s">
        <v>94</v>
      </c>
      <c r="D39" s="83" t="s">
        <v>94</v>
      </c>
      <c r="J39" s="179"/>
      <c r="K39" s="180"/>
      <c r="L39" s="291" t="str">
        <f>IF(CONFIGURAR!$L$3=1,IF(CONFIGURAR!$M33="","",IF(CONFIGURAR!$AH33=TRUE,"",CONFIGURAR!M33)),IF(CONFIGURAR!$T33="","",CONFIGURAR!T33))</f>
        <v/>
      </c>
      <c r="M39" s="292" t="str">
        <f>IF(CONFIGURAR!$L$3=1,IF(CONFIGURAR!$M33="","",IF(CONFIGURAR!$AH33=TRUE,"",IF(CONFIGURAR!N33="","",CONFIGURAR!N33))),IF(CONFIGURAR!$T33="","",IF(CONFIGURAR!U33="","",CONFIGURAR!U33)))</f>
        <v/>
      </c>
      <c r="N39" s="292" t="str">
        <f>IF(CONFIGURAR!$L$3=1,IF(CONFIGURAR!$M33="","",IF(CONFIGURAR!$AH33=TRUE,"",IF(CONFIGURAR!O33="","",CONFIGURAR!O33))),IF(CONFIGURAR!$T33="","",IF(CONFIGURAR!V33="","",CONFIGURAR!V33)))</f>
        <v/>
      </c>
      <c r="O39" s="292" t="str">
        <f>IF(CONFIGURAR!$L$3=1,IF(CONFIGURAR!$M33="","",IF(CONFIGURAR!$AH33=TRUE,"",IF(CONFIGURAR!P33="","",CONFIGURAR!P33))),IF(CONFIGURAR!$T33="","",IF(CONFIGURAR!W33="","",CONFIGURAR!W33)))</f>
        <v/>
      </c>
    </row>
    <row r="40" spans="1:15" ht="18.75" customHeight="1" x14ac:dyDescent="0.2">
      <c r="A40" s="159" t="s">
        <v>94</v>
      </c>
      <c r="B40" s="83" t="s">
        <v>94</v>
      </c>
      <c r="C40" s="83" t="s">
        <v>94</v>
      </c>
      <c r="D40" s="83" t="s">
        <v>94</v>
      </c>
      <c r="J40" s="179"/>
      <c r="K40" s="180"/>
      <c r="L40" s="291" t="str">
        <f>IF(CONFIGURAR!$L$3=1,IF(CONFIGURAR!$M34="","",IF(CONFIGURAR!$AH34=TRUE,"",CONFIGURAR!M34)),IF(CONFIGURAR!$T34="","",CONFIGURAR!T34))</f>
        <v/>
      </c>
      <c r="M40" s="292" t="str">
        <f>IF(CONFIGURAR!$L$3=1,IF(CONFIGURAR!$M34="","",IF(CONFIGURAR!$AH34=TRUE,"",IF(CONFIGURAR!N34="","",CONFIGURAR!N34))),IF(CONFIGURAR!$T34="","",IF(CONFIGURAR!U34="","",CONFIGURAR!U34)))</f>
        <v/>
      </c>
      <c r="N40" s="292" t="str">
        <f>IF(CONFIGURAR!$L$3=1,IF(CONFIGURAR!$M34="","",IF(CONFIGURAR!$AH34=TRUE,"",IF(CONFIGURAR!O34="","",CONFIGURAR!O34))),IF(CONFIGURAR!$T34="","",IF(CONFIGURAR!V34="","",CONFIGURAR!V34)))</f>
        <v/>
      </c>
      <c r="O40" s="292" t="str">
        <f>IF(CONFIGURAR!$L$3=1,IF(CONFIGURAR!$M34="","",IF(CONFIGURAR!$AH34=TRUE,"",IF(CONFIGURAR!P34="","",CONFIGURAR!P34))),IF(CONFIGURAR!$T34="","",IF(CONFIGURAR!W34="","",CONFIGURAR!W34)))</f>
        <v/>
      </c>
    </row>
    <row r="41" spans="1:15" ht="18.75" customHeight="1" x14ac:dyDescent="0.2">
      <c r="A41" s="159" t="s">
        <v>94</v>
      </c>
      <c r="B41" s="83" t="s">
        <v>94</v>
      </c>
      <c r="C41" s="83" t="s">
        <v>94</v>
      </c>
      <c r="D41" s="83" t="s">
        <v>94</v>
      </c>
      <c r="J41" s="179"/>
      <c r="K41" s="180"/>
      <c r="L41" s="291" t="str">
        <f>IF(CONFIGURAR!$L$3=1,IF(CONFIGURAR!$M35="","",IF(CONFIGURAR!$AH35=TRUE,"",CONFIGURAR!M35)),IF(CONFIGURAR!$T35="","",CONFIGURAR!T35))</f>
        <v/>
      </c>
      <c r="M41" s="292" t="str">
        <f>IF(CONFIGURAR!$L$3=1,IF(CONFIGURAR!$M35="","",IF(CONFIGURAR!$AH35=TRUE,"",IF(CONFIGURAR!N35="","",CONFIGURAR!N35))),IF(CONFIGURAR!$T35="","",IF(CONFIGURAR!U35="","",CONFIGURAR!U35)))</f>
        <v/>
      </c>
      <c r="N41" s="292" t="str">
        <f>IF(CONFIGURAR!$L$3=1,IF(CONFIGURAR!$M35="","",IF(CONFIGURAR!$AH35=TRUE,"",IF(CONFIGURAR!O35="","",CONFIGURAR!O35))),IF(CONFIGURAR!$T35="","",IF(CONFIGURAR!V35="","",CONFIGURAR!V35)))</f>
        <v/>
      </c>
      <c r="O41" s="292" t="str">
        <f>IF(CONFIGURAR!$L$3=1,IF(CONFIGURAR!$M35="","",IF(CONFIGURAR!$AH35=TRUE,"",IF(CONFIGURAR!P35="","",CONFIGURAR!P35))),IF(CONFIGURAR!$T35="","",IF(CONFIGURAR!W35="","",CONFIGURAR!W35)))</f>
        <v/>
      </c>
    </row>
    <row r="42" spans="1:15" ht="18.75" customHeight="1" x14ac:dyDescent="0.2">
      <c r="A42" s="159" t="s">
        <v>94</v>
      </c>
      <c r="B42" s="83" t="s">
        <v>94</v>
      </c>
      <c r="C42" s="83" t="s">
        <v>94</v>
      </c>
      <c r="D42" s="83" t="s">
        <v>94</v>
      </c>
      <c r="J42" s="179"/>
      <c r="K42" s="180"/>
      <c r="L42" s="291" t="str">
        <f>IF(CONFIGURAR!$L$3=1,IF(CONFIGURAR!$M36="","",IF(CONFIGURAR!$AH36=TRUE,"",CONFIGURAR!M36)),IF(CONFIGURAR!$T36="","",CONFIGURAR!T36))</f>
        <v/>
      </c>
      <c r="M42" s="292" t="str">
        <f>IF(CONFIGURAR!$L$3=1,IF(CONFIGURAR!$M36="","",IF(CONFIGURAR!$AH36=TRUE,"",IF(CONFIGURAR!N36="","",CONFIGURAR!N36))),IF(CONFIGURAR!$T36="","",IF(CONFIGURAR!U36="","",CONFIGURAR!U36)))</f>
        <v/>
      </c>
      <c r="N42" s="292" t="str">
        <f>IF(CONFIGURAR!$L$3=1,IF(CONFIGURAR!$M36="","",IF(CONFIGURAR!$AH36=TRUE,"",IF(CONFIGURAR!O36="","",CONFIGURAR!O36))),IF(CONFIGURAR!$T36="","",IF(CONFIGURAR!V36="","",CONFIGURAR!V36)))</f>
        <v/>
      </c>
      <c r="O42" s="292" t="str">
        <f>IF(CONFIGURAR!$L$3=1,IF(CONFIGURAR!$M36="","",IF(CONFIGURAR!$AH36=TRUE,"",IF(CONFIGURAR!P36="","",CONFIGURAR!P36))),IF(CONFIGURAR!$T36="","",IF(CONFIGURAR!W36="","",CONFIGURAR!W36)))</f>
        <v/>
      </c>
    </row>
    <row r="43" spans="1:15" ht="18.75" customHeight="1" x14ac:dyDescent="0.2">
      <c r="A43" s="159" t="s">
        <v>94</v>
      </c>
      <c r="B43" s="83" t="s">
        <v>94</v>
      </c>
      <c r="C43" s="83" t="s">
        <v>94</v>
      </c>
      <c r="D43" s="83" t="s">
        <v>94</v>
      </c>
      <c r="J43" s="179"/>
      <c r="K43" s="180"/>
      <c r="L43" s="291" t="str">
        <f>IF(CONFIGURAR!$L$3=1,IF(CONFIGURAR!$M37="","",IF(CONFIGURAR!$AH37=TRUE,"",CONFIGURAR!M37)),IF(CONFIGURAR!$T37="","",CONFIGURAR!T37))</f>
        <v/>
      </c>
      <c r="M43" s="292" t="str">
        <f>IF(CONFIGURAR!$L$3=1,IF(CONFIGURAR!$M37="","",IF(CONFIGURAR!$AH37=TRUE,"",IF(CONFIGURAR!N37="","",CONFIGURAR!N37))),IF(CONFIGURAR!$T37="","",IF(CONFIGURAR!U37="","",CONFIGURAR!U37)))</f>
        <v/>
      </c>
      <c r="N43" s="292" t="str">
        <f>IF(CONFIGURAR!$L$3=1,IF(CONFIGURAR!$M37="","",IF(CONFIGURAR!$AH37=TRUE,"",IF(CONFIGURAR!O37="","",CONFIGURAR!O37))),IF(CONFIGURAR!$T37="","",IF(CONFIGURAR!V37="","",CONFIGURAR!V37)))</f>
        <v/>
      </c>
      <c r="O43" s="292" t="str">
        <f>IF(CONFIGURAR!$L$3=1,IF(CONFIGURAR!$M37="","",IF(CONFIGURAR!$AH37=TRUE,"",IF(CONFIGURAR!P37="","",CONFIGURAR!P37))),IF(CONFIGURAR!$T37="","",IF(CONFIGURAR!W37="","",CONFIGURAR!W37)))</f>
        <v/>
      </c>
    </row>
    <row r="44" spans="1:15" ht="18.75" customHeight="1" x14ac:dyDescent="0.2">
      <c r="A44" s="159" t="s">
        <v>94</v>
      </c>
      <c r="B44" s="83" t="s">
        <v>94</v>
      </c>
      <c r="C44" s="83" t="s">
        <v>94</v>
      </c>
      <c r="D44" s="83" t="s">
        <v>94</v>
      </c>
      <c r="J44" s="179"/>
      <c r="K44" s="180"/>
      <c r="L44" s="291" t="str">
        <f>IF(CONFIGURAR!$L$3=1,IF(CONFIGURAR!$M38="","",IF(CONFIGURAR!$AH38=TRUE,"",CONFIGURAR!M38)),IF(CONFIGURAR!$T38="","",CONFIGURAR!T38))</f>
        <v/>
      </c>
      <c r="M44" s="292" t="str">
        <f>IF(CONFIGURAR!$L$3=1,IF(CONFIGURAR!$M38="","",IF(CONFIGURAR!$AH38=TRUE,"",IF(CONFIGURAR!N38="","",CONFIGURAR!N38))),IF(CONFIGURAR!$T38="","",IF(CONFIGURAR!U38="","",CONFIGURAR!U38)))</f>
        <v/>
      </c>
      <c r="N44" s="292" t="str">
        <f>IF(CONFIGURAR!$L$3=1,IF(CONFIGURAR!$M38="","",IF(CONFIGURAR!$AH38=TRUE,"",IF(CONFIGURAR!O38="","",CONFIGURAR!O38))),IF(CONFIGURAR!$T38="","",IF(CONFIGURAR!V38="","",CONFIGURAR!V38)))</f>
        <v/>
      </c>
      <c r="O44" s="292" t="str">
        <f>IF(CONFIGURAR!$L$3=1,IF(CONFIGURAR!$M38="","",IF(CONFIGURAR!$AH38=TRUE,"",IF(CONFIGURAR!P38="","",CONFIGURAR!P38))),IF(CONFIGURAR!$T38="","",IF(CONFIGURAR!W38="","",CONFIGURAR!W38)))</f>
        <v/>
      </c>
    </row>
    <row r="45" spans="1:15" ht="18.75" customHeight="1" x14ac:dyDescent="0.2">
      <c r="A45" s="159" t="s">
        <v>94</v>
      </c>
      <c r="B45" s="83" t="s">
        <v>94</v>
      </c>
      <c r="C45" s="83" t="s">
        <v>94</v>
      </c>
      <c r="D45" s="83" t="s">
        <v>94</v>
      </c>
      <c r="J45" s="179"/>
      <c r="K45" s="180"/>
      <c r="L45" s="291" t="str">
        <f>IF(CONFIGURAR!$L$3=1,IF(CONFIGURAR!$M39="","",IF(CONFIGURAR!$AH39=TRUE,"",CONFIGURAR!M39)),IF(CONFIGURAR!$T39="","",CONFIGURAR!T39))</f>
        <v/>
      </c>
      <c r="M45" s="292" t="str">
        <f>IF(CONFIGURAR!$L$3=1,IF(CONFIGURAR!$M39="","",IF(CONFIGURAR!$AH39=TRUE,"",IF(CONFIGURAR!N39="","",CONFIGURAR!N39))),IF(CONFIGURAR!$T39="","",IF(CONFIGURAR!U39="","",CONFIGURAR!U39)))</f>
        <v/>
      </c>
      <c r="N45" s="292" t="str">
        <f>IF(CONFIGURAR!$L$3=1,IF(CONFIGURAR!$M39="","",IF(CONFIGURAR!$AH39=TRUE,"",IF(CONFIGURAR!O39="","",CONFIGURAR!O39))),IF(CONFIGURAR!$T39="","",IF(CONFIGURAR!V39="","",CONFIGURAR!V39)))</f>
        <v/>
      </c>
      <c r="O45" s="292" t="str">
        <f>IF(CONFIGURAR!$L$3=1,IF(CONFIGURAR!$M39="","",IF(CONFIGURAR!$AH39=TRUE,"",IF(CONFIGURAR!P39="","",CONFIGURAR!P39))),IF(CONFIGURAR!$T39="","",IF(CONFIGURAR!W39="","",CONFIGURAR!W39)))</f>
        <v/>
      </c>
    </row>
    <row r="46" spans="1:15" ht="18.75" customHeight="1" x14ac:dyDescent="0.2">
      <c r="A46" s="159" t="s">
        <v>94</v>
      </c>
      <c r="B46" s="83" t="s">
        <v>94</v>
      </c>
      <c r="C46" s="83" t="s">
        <v>94</v>
      </c>
      <c r="D46" s="83" t="s">
        <v>94</v>
      </c>
      <c r="J46" s="179"/>
      <c r="K46" s="180"/>
      <c r="L46" s="291" t="str">
        <f>IF(CONFIGURAR!$L$3=1,IF(CONFIGURAR!$M40="","",IF(CONFIGURAR!$AH40=TRUE,"",CONFIGURAR!M40)),IF(CONFIGURAR!$T40="","",CONFIGURAR!T40))</f>
        <v/>
      </c>
      <c r="M46" s="292" t="str">
        <f>IF(CONFIGURAR!$L$3=1,IF(CONFIGURAR!$M40="","",IF(CONFIGURAR!$AH40=TRUE,"",IF(CONFIGURAR!N40="","",CONFIGURAR!N40))),IF(CONFIGURAR!$T40="","",IF(CONFIGURAR!U40="","",CONFIGURAR!U40)))</f>
        <v/>
      </c>
      <c r="N46" s="292" t="str">
        <f>IF(CONFIGURAR!$L$3=1,IF(CONFIGURAR!$M40="","",IF(CONFIGURAR!$AH40=TRUE,"",IF(CONFIGURAR!O40="","",CONFIGURAR!O40))),IF(CONFIGURAR!$T40="","",IF(CONFIGURAR!V40="","",CONFIGURAR!V40)))</f>
        <v/>
      </c>
      <c r="O46" s="292" t="str">
        <f>IF(CONFIGURAR!$L$3=1,IF(CONFIGURAR!$M40="","",IF(CONFIGURAR!$AH40=TRUE,"",IF(CONFIGURAR!P40="","",CONFIGURAR!P40))),IF(CONFIGURAR!$T40="","",IF(CONFIGURAR!W40="","",CONFIGURAR!W40)))</f>
        <v/>
      </c>
    </row>
    <row r="47" spans="1:15" ht="18.75" customHeight="1" x14ac:dyDescent="0.2">
      <c r="A47" s="159" t="s">
        <v>94</v>
      </c>
      <c r="B47" s="83" t="s">
        <v>94</v>
      </c>
      <c r="C47" s="83" t="s">
        <v>94</v>
      </c>
      <c r="D47" s="83" t="s">
        <v>94</v>
      </c>
      <c r="J47" s="179"/>
      <c r="K47" s="180"/>
      <c r="L47" s="291" t="str">
        <f>IF(CONFIGURAR!$L$3=1,IF(CONFIGURAR!$M41="","",IF(CONFIGURAR!$AH41=TRUE,"",CONFIGURAR!M41)),IF(CONFIGURAR!$T41="","",CONFIGURAR!T41))</f>
        <v/>
      </c>
      <c r="M47" s="292" t="str">
        <f>IF(CONFIGURAR!$L$3=1,IF(CONFIGURAR!$M41="","",IF(CONFIGURAR!$AH41=TRUE,"",IF(CONFIGURAR!N41="","",CONFIGURAR!N41))),IF(CONFIGURAR!$T41="","",IF(CONFIGURAR!U41="","",CONFIGURAR!U41)))</f>
        <v/>
      </c>
      <c r="N47" s="292" t="str">
        <f>IF(CONFIGURAR!$L$3=1,IF(CONFIGURAR!$M41="","",IF(CONFIGURAR!$AH41=TRUE,"",IF(CONFIGURAR!O41="","",CONFIGURAR!O41))),IF(CONFIGURAR!$T41="","",IF(CONFIGURAR!V41="","",CONFIGURAR!V41)))</f>
        <v/>
      </c>
      <c r="O47" s="292" t="str">
        <f>IF(CONFIGURAR!$L$3=1,IF(CONFIGURAR!$M41="","",IF(CONFIGURAR!$AH41=TRUE,"",IF(CONFIGURAR!P41="","",CONFIGURAR!P41))),IF(CONFIGURAR!$T41="","",IF(CONFIGURAR!W41="","",CONFIGURAR!W41)))</f>
        <v/>
      </c>
    </row>
    <row r="48" spans="1:15" ht="18.75" customHeight="1" x14ac:dyDescent="0.2">
      <c r="A48" s="159" t="s">
        <v>94</v>
      </c>
      <c r="B48" s="83" t="s">
        <v>94</v>
      </c>
      <c r="C48" s="83" t="s">
        <v>94</v>
      </c>
      <c r="D48" s="83" t="s">
        <v>94</v>
      </c>
      <c r="J48" s="179"/>
      <c r="K48" s="180"/>
      <c r="L48" s="291" t="str">
        <f>IF(CONFIGURAR!$L$3=1,IF(CONFIGURAR!$M42="","",IF(CONFIGURAR!$AH42=TRUE,"",CONFIGURAR!M42)),IF(CONFIGURAR!$T42="","",CONFIGURAR!T42))</f>
        <v/>
      </c>
      <c r="M48" s="292" t="str">
        <f>IF(CONFIGURAR!$L$3=1,IF(CONFIGURAR!$M42="","",IF(CONFIGURAR!$AH42=TRUE,"",IF(CONFIGURAR!N42="","",CONFIGURAR!N42))),IF(CONFIGURAR!$T42="","",IF(CONFIGURAR!U42="","",CONFIGURAR!U42)))</f>
        <v/>
      </c>
      <c r="N48" s="292" t="str">
        <f>IF(CONFIGURAR!$L$3=1,IF(CONFIGURAR!$M42="","",IF(CONFIGURAR!$AH42=TRUE,"",IF(CONFIGURAR!O42="","",CONFIGURAR!O42))),IF(CONFIGURAR!$T42="","",IF(CONFIGURAR!V42="","",CONFIGURAR!V42)))</f>
        <v/>
      </c>
      <c r="O48" s="292" t="str">
        <f>IF(CONFIGURAR!$L$3=1,IF(CONFIGURAR!$M42="","",IF(CONFIGURAR!$AH42=TRUE,"",IF(CONFIGURAR!P42="","",CONFIGURAR!P42))),IF(CONFIGURAR!$T42="","",IF(CONFIGURAR!W42="","",CONFIGURAR!W42)))</f>
        <v/>
      </c>
    </row>
    <row r="49" spans="1:15" ht="18.75" customHeight="1" x14ac:dyDescent="0.2">
      <c r="A49" s="159" t="s">
        <v>94</v>
      </c>
      <c r="B49" s="83" t="s">
        <v>94</v>
      </c>
      <c r="C49" s="83" t="s">
        <v>94</v>
      </c>
      <c r="D49" s="83" t="s">
        <v>94</v>
      </c>
      <c r="J49" s="179"/>
      <c r="K49" s="180"/>
      <c r="L49" s="291" t="str">
        <f>IF(CONFIGURAR!$L$3=1,IF(CONFIGURAR!$M43="","",IF(CONFIGURAR!$AH43=TRUE,"",CONFIGURAR!M43)),IF(CONFIGURAR!$T43="","",CONFIGURAR!T43))</f>
        <v/>
      </c>
      <c r="M49" s="292" t="str">
        <f>IF(CONFIGURAR!$L$3=1,IF(CONFIGURAR!$M43="","",IF(CONFIGURAR!$AH43=TRUE,"",IF(CONFIGURAR!N43="","",CONFIGURAR!N43))),IF(CONFIGURAR!$T43="","",IF(CONFIGURAR!U43="","",CONFIGURAR!U43)))</f>
        <v/>
      </c>
      <c r="N49" s="292" t="str">
        <f>IF(CONFIGURAR!$L$3=1,IF(CONFIGURAR!$M43="","",IF(CONFIGURAR!$AH43=TRUE,"",IF(CONFIGURAR!O43="","",CONFIGURAR!O43))),IF(CONFIGURAR!$T43="","",IF(CONFIGURAR!V43="","",CONFIGURAR!V43)))</f>
        <v/>
      </c>
      <c r="O49" s="292" t="str">
        <f>IF(CONFIGURAR!$L$3=1,IF(CONFIGURAR!$M43="","",IF(CONFIGURAR!$AH43=TRUE,"",IF(CONFIGURAR!P43="","",CONFIGURAR!P43))),IF(CONFIGURAR!$T43="","",IF(CONFIGURAR!W43="","",CONFIGURAR!W43)))</f>
        <v/>
      </c>
    </row>
    <row r="50" spans="1:15" ht="18.75" customHeight="1" x14ac:dyDescent="0.2">
      <c r="A50" s="159" t="s">
        <v>94</v>
      </c>
      <c r="B50" s="83" t="s">
        <v>94</v>
      </c>
      <c r="C50" s="83" t="s">
        <v>94</v>
      </c>
      <c r="D50" s="83" t="s">
        <v>94</v>
      </c>
      <c r="J50" s="179"/>
      <c r="K50" s="180"/>
      <c r="L50" s="291" t="str">
        <f>IF(CONFIGURAR!$L$3=1,IF(CONFIGURAR!$M44="","",IF(CONFIGURAR!$AH44=TRUE,"",CONFIGURAR!M44)),IF(CONFIGURAR!$T44="","",CONFIGURAR!T44))</f>
        <v/>
      </c>
      <c r="M50" s="292" t="str">
        <f>IF(CONFIGURAR!$L$3=1,IF(CONFIGURAR!$M44="","",IF(CONFIGURAR!$AH44=TRUE,"",IF(CONFIGURAR!N44="","",CONFIGURAR!N44))),IF(CONFIGURAR!$T44="","",IF(CONFIGURAR!U44="","",CONFIGURAR!U44)))</f>
        <v/>
      </c>
      <c r="N50" s="292" t="str">
        <f>IF(CONFIGURAR!$L$3=1,IF(CONFIGURAR!$M44="","",IF(CONFIGURAR!$AH44=TRUE,"",IF(CONFIGURAR!O44="","",CONFIGURAR!O44))),IF(CONFIGURAR!$T44="","",IF(CONFIGURAR!V44="","",CONFIGURAR!V44)))</f>
        <v/>
      </c>
      <c r="O50" s="292" t="str">
        <f>IF(CONFIGURAR!$L$3=1,IF(CONFIGURAR!$M44="","",IF(CONFIGURAR!$AH44=TRUE,"",IF(CONFIGURAR!P44="","",CONFIGURAR!P44))),IF(CONFIGURAR!$T44="","",IF(CONFIGURAR!W44="","",CONFIGURAR!W44)))</f>
        <v/>
      </c>
    </row>
    <row r="51" spans="1:15" ht="18.75" customHeight="1" x14ac:dyDescent="0.2">
      <c r="A51" s="159" t="s">
        <v>94</v>
      </c>
      <c r="B51" s="83" t="s">
        <v>94</v>
      </c>
      <c r="C51" s="83" t="s">
        <v>94</v>
      </c>
      <c r="D51" s="83" t="s">
        <v>94</v>
      </c>
      <c r="J51" s="179"/>
      <c r="K51" s="180"/>
      <c r="L51" s="291" t="str">
        <f>IF(CONFIGURAR!$L$3=1,IF(CONFIGURAR!$M45="","",IF(CONFIGURAR!$AH45=TRUE,"",CONFIGURAR!M45)),IF(CONFIGURAR!$T45="","",CONFIGURAR!T45))</f>
        <v/>
      </c>
      <c r="M51" s="292" t="str">
        <f>IF(CONFIGURAR!$L$3=1,IF(CONFIGURAR!$M45="","",IF(CONFIGURAR!$AH45=TRUE,"",IF(CONFIGURAR!N45="","",CONFIGURAR!N45))),IF(CONFIGURAR!$T45="","",IF(CONFIGURAR!U45="","",CONFIGURAR!U45)))</f>
        <v/>
      </c>
      <c r="N51" s="292" t="str">
        <f>IF(CONFIGURAR!$L$3=1,IF(CONFIGURAR!$M45="","",IF(CONFIGURAR!$AH45=TRUE,"",IF(CONFIGURAR!O45="","",CONFIGURAR!O45))),IF(CONFIGURAR!$T45="","",IF(CONFIGURAR!V45="","",CONFIGURAR!V45)))</f>
        <v/>
      </c>
      <c r="O51" s="292" t="str">
        <f>IF(CONFIGURAR!$L$3=1,IF(CONFIGURAR!$M45="","",IF(CONFIGURAR!$AH45=TRUE,"",IF(CONFIGURAR!P45="","",CONFIGURAR!P45))),IF(CONFIGURAR!$T45="","",IF(CONFIGURAR!W45="","",CONFIGURAR!W45)))</f>
        <v/>
      </c>
    </row>
    <row r="52" spans="1:15" ht="18.75" customHeight="1" x14ac:dyDescent="0.2">
      <c r="A52" s="159" t="s">
        <v>94</v>
      </c>
      <c r="B52" s="83" t="s">
        <v>94</v>
      </c>
      <c r="C52" s="83" t="s">
        <v>94</v>
      </c>
      <c r="D52" s="83" t="s">
        <v>94</v>
      </c>
      <c r="J52" s="179"/>
      <c r="K52" s="180"/>
      <c r="L52" s="291" t="str">
        <f>IF(CONFIGURAR!$L$3=1,IF(CONFIGURAR!$M46="","",IF(CONFIGURAR!$AH46=TRUE,"",CONFIGURAR!M46)),IF(CONFIGURAR!$T46="","",CONFIGURAR!T46))</f>
        <v/>
      </c>
      <c r="M52" s="292" t="str">
        <f>IF(CONFIGURAR!$L$3=1,IF(CONFIGURAR!$M46="","",IF(CONFIGURAR!$AH46=TRUE,"",IF(CONFIGURAR!N46="","",CONFIGURAR!N46))),IF(CONFIGURAR!$T46="","",IF(CONFIGURAR!U46="","",CONFIGURAR!U46)))</f>
        <v/>
      </c>
      <c r="N52" s="292" t="str">
        <f>IF(CONFIGURAR!$L$3=1,IF(CONFIGURAR!$M46="","",IF(CONFIGURAR!$AH46=TRUE,"",IF(CONFIGURAR!O46="","",CONFIGURAR!O46))),IF(CONFIGURAR!$T46="","",IF(CONFIGURAR!V46="","",CONFIGURAR!V46)))</f>
        <v/>
      </c>
      <c r="O52" s="292" t="str">
        <f>IF(CONFIGURAR!$L$3=1,IF(CONFIGURAR!$M46="","",IF(CONFIGURAR!$AH46=TRUE,"",IF(CONFIGURAR!P46="","",CONFIGURAR!P46))),IF(CONFIGURAR!$T46="","",IF(CONFIGURAR!W46="","",CONFIGURAR!W46)))</f>
        <v/>
      </c>
    </row>
    <row r="53" spans="1:15" ht="18.75" customHeight="1" x14ac:dyDescent="0.2">
      <c r="A53" s="159" t="s">
        <v>94</v>
      </c>
      <c r="B53" s="83" t="s">
        <v>94</v>
      </c>
      <c r="C53" s="83" t="s">
        <v>94</v>
      </c>
      <c r="D53" s="83" t="s">
        <v>94</v>
      </c>
      <c r="J53" s="179"/>
      <c r="K53" s="180"/>
      <c r="L53" s="291" t="str">
        <f>IF(CONFIGURAR!$L$3=1,IF(CONFIGURAR!$M47="","",IF(CONFIGURAR!$AH47=TRUE,"",CONFIGURAR!M47)),IF(CONFIGURAR!$T47="","",CONFIGURAR!T47))</f>
        <v/>
      </c>
      <c r="M53" s="292" t="str">
        <f>IF(CONFIGURAR!$L$3=1,IF(CONFIGURAR!$M47="","",IF(CONFIGURAR!$AH47=TRUE,"",IF(CONFIGURAR!N47="","",CONFIGURAR!N47))),IF(CONFIGURAR!$T47="","",IF(CONFIGURAR!U47="","",CONFIGURAR!U47)))</f>
        <v/>
      </c>
      <c r="N53" s="292" t="str">
        <f>IF(CONFIGURAR!$L$3=1,IF(CONFIGURAR!$M47="","",IF(CONFIGURAR!$AH47=TRUE,"",IF(CONFIGURAR!O47="","",CONFIGURAR!O47))),IF(CONFIGURAR!$T47="","",IF(CONFIGURAR!V47="","",CONFIGURAR!V47)))</f>
        <v/>
      </c>
      <c r="O53" s="292" t="str">
        <f>IF(CONFIGURAR!$L$3=1,IF(CONFIGURAR!$M47="","",IF(CONFIGURAR!$AH47=TRUE,"",IF(CONFIGURAR!P47="","",CONFIGURAR!P47))),IF(CONFIGURAR!$T47="","",IF(CONFIGURAR!W47="","",CONFIGURAR!W47)))</f>
        <v/>
      </c>
    </row>
    <row r="54" spans="1:15" ht="18.75" customHeight="1" x14ac:dyDescent="0.2">
      <c r="A54" s="159" t="s">
        <v>94</v>
      </c>
      <c r="B54" s="83" t="s">
        <v>94</v>
      </c>
      <c r="C54" s="83" t="s">
        <v>94</v>
      </c>
      <c r="D54" s="83" t="s">
        <v>94</v>
      </c>
      <c r="J54" s="179"/>
      <c r="K54" s="180"/>
      <c r="L54" s="291" t="str">
        <f>IF(CONFIGURAR!$L$3=1,IF(CONFIGURAR!$M48="","",IF(CONFIGURAR!$AH48=TRUE,"",CONFIGURAR!M48)),IF(CONFIGURAR!$T48="","",CONFIGURAR!T48))</f>
        <v/>
      </c>
      <c r="M54" s="292" t="str">
        <f>IF(CONFIGURAR!$L$3=1,IF(CONFIGURAR!$M48="","",IF(CONFIGURAR!$AH48=TRUE,"",IF(CONFIGURAR!N48="","",CONFIGURAR!N48))),IF(CONFIGURAR!$T48="","",IF(CONFIGURAR!U48="","",CONFIGURAR!U48)))</f>
        <v/>
      </c>
      <c r="N54" s="292" t="str">
        <f>IF(CONFIGURAR!$L$3=1,IF(CONFIGURAR!$M48="","",IF(CONFIGURAR!$AH48=TRUE,"",IF(CONFIGURAR!O48="","",CONFIGURAR!O48))),IF(CONFIGURAR!$T48="","",IF(CONFIGURAR!V48="","",CONFIGURAR!V48)))</f>
        <v/>
      </c>
      <c r="O54" s="292" t="str">
        <f>IF(CONFIGURAR!$L$3=1,IF(CONFIGURAR!$M48="","",IF(CONFIGURAR!$AH48=TRUE,"",IF(CONFIGURAR!P48="","",CONFIGURAR!P48))),IF(CONFIGURAR!$T48="","",IF(CONFIGURAR!W48="","",CONFIGURAR!W48)))</f>
        <v/>
      </c>
    </row>
    <row r="55" spans="1:15" ht="18.75" customHeight="1" x14ac:dyDescent="0.2">
      <c r="A55" s="159" t="s">
        <v>94</v>
      </c>
      <c r="B55" s="83" t="s">
        <v>94</v>
      </c>
      <c r="C55" s="83" t="s">
        <v>94</v>
      </c>
      <c r="D55" s="83" t="s">
        <v>94</v>
      </c>
      <c r="J55" s="179"/>
      <c r="K55" s="180"/>
      <c r="L55" s="291" t="str">
        <f>IF(CONFIGURAR!$L$3=1,IF(CONFIGURAR!$M49="","",IF(CONFIGURAR!$AH49=TRUE,"",CONFIGURAR!M49)),IF(CONFIGURAR!$T49="","",CONFIGURAR!T49))</f>
        <v/>
      </c>
      <c r="M55" s="292" t="str">
        <f>IF(CONFIGURAR!$L$3=1,IF(CONFIGURAR!$M49="","",IF(CONFIGURAR!$AH49=TRUE,"",IF(CONFIGURAR!N49="","",CONFIGURAR!N49))),IF(CONFIGURAR!$T49="","",IF(CONFIGURAR!U49="","",CONFIGURAR!U49)))</f>
        <v/>
      </c>
      <c r="N55" s="292" t="str">
        <f>IF(CONFIGURAR!$L$3=1,IF(CONFIGURAR!$M49="","",IF(CONFIGURAR!$AH49=TRUE,"",IF(CONFIGURAR!O49="","",CONFIGURAR!O49))),IF(CONFIGURAR!$T49="","",IF(CONFIGURAR!V49="","",CONFIGURAR!V49)))</f>
        <v/>
      </c>
      <c r="O55" s="292" t="str">
        <f>IF(CONFIGURAR!$L$3=1,IF(CONFIGURAR!$M49="","",IF(CONFIGURAR!$AH49=TRUE,"",IF(CONFIGURAR!P49="","",CONFIGURAR!P49))),IF(CONFIGURAR!$T49="","",IF(CONFIGURAR!W49="","",CONFIGURAR!W49)))</f>
        <v/>
      </c>
    </row>
    <row r="56" spans="1:15" ht="18.75" customHeight="1" x14ac:dyDescent="0.2">
      <c r="A56" s="159" t="s">
        <v>94</v>
      </c>
      <c r="B56" s="83" t="s">
        <v>94</v>
      </c>
      <c r="C56" s="83" t="s">
        <v>94</v>
      </c>
      <c r="D56" s="83" t="s">
        <v>94</v>
      </c>
      <c r="J56" s="179"/>
      <c r="K56" s="180"/>
      <c r="L56" s="291" t="str">
        <f>IF(CONFIGURAR!$L$3=1,IF(CONFIGURAR!$M50="","",IF(CONFIGURAR!$AH50=TRUE,"",CONFIGURAR!M50)),IF(CONFIGURAR!$T50="","",CONFIGURAR!T50))</f>
        <v/>
      </c>
      <c r="M56" s="292" t="str">
        <f>IF(CONFIGURAR!$L$3=1,IF(CONFIGURAR!$M50="","",IF(CONFIGURAR!$AH50=TRUE,"",IF(CONFIGURAR!N50="","",CONFIGURAR!N50))),IF(CONFIGURAR!$T50="","",IF(CONFIGURAR!U50="","",CONFIGURAR!U50)))</f>
        <v/>
      </c>
      <c r="N56" s="292" t="str">
        <f>IF(CONFIGURAR!$L$3=1,IF(CONFIGURAR!$M50="","",IF(CONFIGURAR!$AH50=TRUE,"",IF(CONFIGURAR!O50="","",CONFIGURAR!O50))),IF(CONFIGURAR!$T50="","",IF(CONFIGURAR!V50="","",CONFIGURAR!V50)))</f>
        <v/>
      </c>
      <c r="O56" s="292" t="str">
        <f>IF(CONFIGURAR!$L$3=1,IF(CONFIGURAR!$M50="","",IF(CONFIGURAR!$AH50=TRUE,"",IF(CONFIGURAR!P50="","",CONFIGURAR!P50))),IF(CONFIGURAR!$T50="","",IF(CONFIGURAR!W50="","",CONFIGURAR!W50)))</f>
        <v/>
      </c>
    </row>
    <row r="57" spans="1:15" ht="18.75" customHeight="1" x14ac:dyDescent="0.2">
      <c r="A57" s="159" t="s">
        <v>94</v>
      </c>
      <c r="B57" s="83" t="s">
        <v>94</v>
      </c>
      <c r="C57" s="83" t="s">
        <v>94</v>
      </c>
      <c r="D57" s="83" t="s">
        <v>94</v>
      </c>
      <c r="J57" s="179"/>
      <c r="K57" s="180"/>
      <c r="L57" s="291" t="str">
        <f>IF(CONFIGURAR!$L$3=1,IF(CONFIGURAR!$M51="","",IF(CONFIGURAR!$AH51=TRUE,"",CONFIGURAR!M51)),IF(CONFIGURAR!$T51="","",CONFIGURAR!T51))</f>
        <v/>
      </c>
      <c r="M57" s="292" t="str">
        <f>IF(CONFIGURAR!$L$3=1,IF(CONFIGURAR!$M51="","",IF(CONFIGURAR!$AH51=TRUE,"",IF(CONFIGURAR!N51="","",CONFIGURAR!N51))),IF(CONFIGURAR!$T51="","",IF(CONFIGURAR!U51="","",CONFIGURAR!U51)))</f>
        <v/>
      </c>
      <c r="N57" s="292" t="str">
        <f>IF(CONFIGURAR!$L$3=1,IF(CONFIGURAR!$M51="","",IF(CONFIGURAR!$AH51=TRUE,"",IF(CONFIGURAR!O51="","",CONFIGURAR!O51))),IF(CONFIGURAR!$T51="","",IF(CONFIGURAR!V51="","",CONFIGURAR!V51)))</f>
        <v/>
      </c>
      <c r="O57" s="292" t="str">
        <f>IF(CONFIGURAR!$L$3=1,IF(CONFIGURAR!$M51="","",IF(CONFIGURAR!$AH51=TRUE,"",IF(CONFIGURAR!P51="","",CONFIGURAR!P51))),IF(CONFIGURAR!$T51="","",IF(CONFIGURAR!W51="","",CONFIGURAR!W51)))</f>
        <v/>
      </c>
    </row>
    <row r="58" spans="1:15" ht="18.75" customHeight="1" x14ac:dyDescent="0.2">
      <c r="A58" s="159" t="s">
        <v>94</v>
      </c>
      <c r="B58" s="83" t="s">
        <v>94</v>
      </c>
      <c r="C58" s="83" t="s">
        <v>94</v>
      </c>
      <c r="D58" s="83" t="s">
        <v>94</v>
      </c>
      <c r="J58" s="179"/>
      <c r="K58" s="180"/>
      <c r="L58" s="291" t="str">
        <f>IF(CONFIGURAR!$L$3=1,IF(CONFIGURAR!$M52="","",IF(CONFIGURAR!$AH52=TRUE,"",CONFIGURAR!M52)),IF(CONFIGURAR!$T52="","",CONFIGURAR!T52))</f>
        <v/>
      </c>
      <c r="M58" s="292" t="str">
        <f>IF(CONFIGURAR!$L$3=1,IF(CONFIGURAR!$M52="","",IF(CONFIGURAR!$AH52=TRUE,"",IF(CONFIGURAR!N52="","",CONFIGURAR!N52))),IF(CONFIGURAR!$T52="","",IF(CONFIGURAR!U52="","",CONFIGURAR!U52)))</f>
        <v/>
      </c>
      <c r="N58" s="292" t="str">
        <f>IF(CONFIGURAR!$L$3=1,IF(CONFIGURAR!$M52="","",IF(CONFIGURAR!$AH52=TRUE,"",IF(CONFIGURAR!O52="","",CONFIGURAR!O52))),IF(CONFIGURAR!$T52="","",IF(CONFIGURAR!V52="","",CONFIGURAR!V52)))</f>
        <v/>
      </c>
      <c r="O58" s="292" t="str">
        <f>IF(CONFIGURAR!$L$3=1,IF(CONFIGURAR!$M52="","",IF(CONFIGURAR!$AH52=TRUE,"",IF(CONFIGURAR!P52="","",CONFIGURAR!P52))),IF(CONFIGURAR!$T52="","",IF(CONFIGURAR!W52="","",CONFIGURAR!W52)))</f>
        <v/>
      </c>
    </row>
    <row r="59" spans="1:15" ht="18.75" customHeight="1" x14ac:dyDescent="0.2">
      <c r="A59" s="159" t="s">
        <v>94</v>
      </c>
      <c r="B59" s="83" t="s">
        <v>94</v>
      </c>
      <c r="C59" s="83" t="s">
        <v>94</v>
      </c>
      <c r="D59" s="83" t="s">
        <v>94</v>
      </c>
      <c r="J59" s="179"/>
      <c r="K59" s="180"/>
      <c r="L59" s="291" t="str">
        <f>IF(CONFIGURAR!$L$3=1,IF(CONFIGURAR!$M53="","",IF(CONFIGURAR!$AH53=TRUE,"",CONFIGURAR!M53)),IF(CONFIGURAR!$T53="","",CONFIGURAR!T53))</f>
        <v/>
      </c>
      <c r="M59" s="292" t="str">
        <f>IF(CONFIGURAR!$L$3=1,IF(CONFIGURAR!$M53="","",IF(CONFIGURAR!$AH53=TRUE,"",IF(CONFIGURAR!N53="","",CONFIGURAR!N53))),IF(CONFIGURAR!$T53="","",IF(CONFIGURAR!U53="","",CONFIGURAR!U53)))</f>
        <v/>
      </c>
      <c r="N59" s="292" t="str">
        <f>IF(CONFIGURAR!$L$3=1,IF(CONFIGURAR!$M53="","",IF(CONFIGURAR!$AH53=TRUE,"",IF(CONFIGURAR!O53="","",CONFIGURAR!O53))),IF(CONFIGURAR!$T53="","",IF(CONFIGURAR!V53="","",CONFIGURAR!V53)))</f>
        <v/>
      </c>
      <c r="O59" s="292" t="str">
        <f>IF(CONFIGURAR!$L$3=1,IF(CONFIGURAR!$M53="","",IF(CONFIGURAR!$AH53=TRUE,"",IF(CONFIGURAR!P53="","",CONFIGURAR!P53))),IF(CONFIGURAR!$T53="","",IF(CONFIGURAR!W53="","",CONFIGURAR!W53)))</f>
        <v/>
      </c>
    </row>
    <row r="60" spans="1:15" ht="18.75" customHeight="1" x14ac:dyDescent="0.2">
      <c r="A60" s="159" t="s">
        <v>94</v>
      </c>
      <c r="B60" s="83" t="s">
        <v>94</v>
      </c>
      <c r="C60" s="83" t="s">
        <v>94</v>
      </c>
      <c r="D60" s="83" t="s">
        <v>94</v>
      </c>
      <c r="J60" s="179"/>
      <c r="K60" s="180"/>
      <c r="L60" s="291" t="str">
        <f>IF(CONFIGURAR!$L$3=1,IF(CONFIGURAR!$M54="","",IF(CONFIGURAR!$AH54=TRUE,"",CONFIGURAR!M54)),IF(CONFIGURAR!$T54="","",CONFIGURAR!T54))</f>
        <v/>
      </c>
      <c r="M60" s="292" t="str">
        <f>IF(CONFIGURAR!$L$3=1,IF(CONFIGURAR!$M54="","",IF(CONFIGURAR!$AH54=TRUE,"",IF(CONFIGURAR!N54="","",CONFIGURAR!N54))),IF(CONFIGURAR!$T54="","",IF(CONFIGURAR!U54="","",CONFIGURAR!U54)))</f>
        <v/>
      </c>
      <c r="N60" s="292" t="str">
        <f>IF(CONFIGURAR!$L$3=1,IF(CONFIGURAR!$M54="","",IF(CONFIGURAR!$AH54=TRUE,"",IF(CONFIGURAR!O54="","",CONFIGURAR!O54))),IF(CONFIGURAR!$T54="","",IF(CONFIGURAR!V54="","",CONFIGURAR!V54)))</f>
        <v/>
      </c>
      <c r="O60" s="292" t="str">
        <f>IF(CONFIGURAR!$L$3=1,IF(CONFIGURAR!$M54="","",IF(CONFIGURAR!$AH54=TRUE,"",IF(CONFIGURAR!P54="","",CONFIGURAR!P54))),IF(CONFIGURAR!$T54="","",IF(CONFIGURAR!W54="","",CONFIGURAR!W54)))</f>
        <v/>
      </c>
    </row>
    <row r="61" spans="1:15" ht="18.75" customHeight="1" x14ac:dyDescent="0.2">
      <c r="A61" s="159" t="s">
        <v>94</v>
      </c>
      <c r="B61" s="83" t="s">
        <v>94</v>
      </c>
      <c r="C61" s="83" t="s">
        <v>94</v>
      </c>
      <c r="D61" s="83" t="s">
        <v>94</v>
      </c>
      <c r="J61" s="179"/>
      <c r="K61" s="180"/>
      <c r="L61" s="291" t="str">
        <f>IF(CONFIGURAR!$L$3=1,IF(CONFIGURAR!$M55="","",IF(CONFIGURAR!$AH55=TRUE,"",CONFIGURAR!M55)),IF(CONFIGURAR!$T55="","",CONFIGURAR!T55))</f>
        <v/>
      </c>
      <c r="M61" s="292" t="str">
        <f>IF(CONFIGURAR!$L$3=1,IF(CONFIGURAR!$M55="","",IF(CONFIGURAR!$AH55=TRUE,"",IF(CONFIGURAR!N55="","",CONFIGURAR!N55))),IF(CONFIGURAR!$T55="","",IF(CONFIGURAR!U55="","",CONFIGURAR!U55)))</f>
        <v/>
      </c>
      <c r="N61" s="292" t="str">
        <f>IF(CONFIGURAR!$L$3=1,IF(CONFIGURAR!$M55="","",IF(CONFIGURAR!$AH55=TRUE,"",IF(CONFIGURAR!O55="","",CONFIGURAR!O55))),IF(CONFIGURAR!$T55="","",IF(CONFIGURAR!V55="","",CONFIGURAR!V55)))</f>
        <v/>
      </c>
      <c r="O61" s="292" t="str">
        <f>IF(CONFIGURAR!$L$3=1,IF(CONFIGURAR!$M55="","",IF(CONFIGURAR!$AH55=TRUE,"",IF(CONFIGURAR!P55="","",CONFIGURAR!P55))),IF(CONFIGURAR!$T55="","",IF(CONFIGURAR!W55="","",CONFIGURAR!W55)))</f>
        <v/>
      </c>
    </row>
    <row r="62" spans="1:15" ht="18.75" customHeight="1" x14ac:dyDescent="0.2">
      <c r="A62" s="159" t="s">
        <v>94</v>
      </c>
      <c r="B62" s="83" t="s">
        <v>94</v>
      </c>
      <c r="C62" s="83" t="s">
        <v>94</v>
      </c>
      <c r="D62" s="83" t="s">
        <v>94</v>
      </c>
      <c r="J62" s="179"/>
      <c r="K62" s="180"/>
      <c r="L62" s="291" t="str">
        <f>IF(CONFIGURAR!$L$3=1,IF(CONFIGURAR!$M56="","",IF(CONFIGURAR!$AH56=TRUE,"",CONFIGURAR!M56)),IF(CONFIGURAR!$T56="","",CONFIGURAR!T56))</f>
        <v/>
      </c>
      <c r="M62" s="292" t="str">
        <f>IF(CONFIGURAR!$L$3=1,IF(CONFIGURAR!$M56="","",IF(CONFIGURAR!$AH56=TRUE,"",IF(CONFIGURAR!N56="","",CONFIGURAR!N56))),IF(CONFIGURAR!$T56="","",IF(CONFIGURAR!U56="","",CONFIGURAR!U56)))</f>
        <v/>
      </c>
      <c r="N62" s="292" t="str">
        <f>IF(CONFIGURAR!$L$3=1,IF(CONFIGURAR!$M56="","",IF(CONFIGURAR!$AH56=TRUE,"",IF(CONFIGURAR!O56="","",CONFIGURAR!O56))),IF(CONFIGURAR!$T56="","",IF(CONFIGURAR!V56="","",CONFIGURAR!V56)))</f>
        <v/>
      </c>
      <c r="O62" s="292" t="str">
        <f>IF(CONFIGURAR!$L$3=1,IF(CONFIGURAR!$M56="","",IF(CONFIGURAR!$AH56=TRUE,"",IF(CONFIGURAR!P56="","",CONFIGURAR!P56))),IF(CONFIGURAR!$T56="","",IF(CONFIGURAR!W56="","",CONFIGURAR!W56)))</f>
        <v/>
      </c>
    </row>
    <row r="63" spans="1:15" ht="18.75" customHeight="1" x14ac:dyDescent="0.2">
      <c r="A63" s="159" t="s">
        <v>94</v>
      </c>
      <c r="B63" s="83" t="s">
        <v>94</v>
      </c>
      <c r="C63" s="83" t="s">
        <v>94</v>
      </c>
      <c r="D63" s="83" t="s">
        <v>94</v>
      </c>
      <c r="J63" s="179"/>
      <c r="K63" s="180"/>
      <c r="L63" s="291" t="str">
        <f>IF(CONFIGURAR!$L$3=1,IF(CONFIGURAR!$M57="","",IF(CONFIGURAR!$AH57=TRUE,"",CONFIGURAR!M57)),IF(CONFIGURAR!$T57="","",CONFIGURAR!T57))</f>
        <v/>
      </c>
      <c r="M63" s="292" t="str">
        <f>IF(CONFIGURAR!$L$3=1,IF(CONFIGURAR!$M57="","",IF(CONFIGURAR!$AH57=TRUE,"",IF(CONFIGURAR!N57="","",CONFIGURAR!N57))),IF(CONFIGURAR!$T57="","",IF(CONFIGURAR!U57="","",CONFIGURAR!U57)))</f>
        <v/>
      </c>
      <c r="N63" s="292" t="str">
        <f>IF(CONFIGURAR!$L$3=1,IF(CONFIGURAR!$M57="","",IF(CONFIGURAR!$AH57=TRUE,"",IF(CONFIGURAR!O57="","",CONFIGURAR!O57))),IF(CONFIGURAR!$T57="","",IF(CONFIGURAR!V57="","",CONFIGURAR!V57)))</f>
        <v/>
      </c>
      <c r="O63" s="292" t="str">
        <f>IF(CONFIGURAR!$L$3=1,IF(CONFIGURAR!$M57="","",IF(CONFIGURAR!$AH57=TRUE,"",IF(CONFIGURAR!P57="","",CONFIGURAR!P57))),IF(CONFIGURAR!$T57="","",IF(CONFIGURAR!W57="","",CONFIGURAR!W57)))</f>
        <v/>
      </c>
    </row>
    <row r="64" spans="1:15" ht="18.75" customHeight="1" x14ac:dyDescent="0.2">
      <c r="A64" s="159" t="s">
        <v>94</v>
      </c>
      <c r="B64" s="83" t="s">
        <v>94</v>
      </c>
      <c r="C64" s="83" t="s">
        <v>94</v>
      </c>
      <c r="D64" s="83" t="s">
        <v>94</v>
      </c>
      <c r="J64" s="179"/>
      <c r="K64" s="180"/>
      <c r="L64" s="291" t="str">
        <f>IF(CONFIGURAR!$L$3=1,IF(CONFIGURAR!$M58="","",IF(CONFIGURAR!$AH58=TRUE,"",CONFIGURAR!M58)),IF(CONFIGURAR!$T58="","",CONFIGURAR!T58))</f>
        <v/>
      </c>
      <c r="M64" s="292" t="str">
        <f>IF(CONFIGURAR!$L$3=1,IF(CONFIGURAR!$M58="","",IF(CONFIGURAR!$AH58=TRUE,"",IF(CONFIGURAR!N58="","",CONFIGURAR!N58))),IF(CONFIGURAR!$T58="","",IF(CONFIGURAR!U58="","",CONFIGURAR!U58)))</f>
        <v/>
      </c>
      <c r="N64" s="292" t="str">
        <f>IF(CONFIGURAR!$L$3=1,IF(CONFIGURAR!$M58="","",IF(CONFIGURAR!$AH58=TRUE,"",IF(CONFIGURAR!O58="","",CONFIGURAR!O58))),IF(CONFIGURAR!$T58="","",IF(CONFIGURAR!V58="","",CONFIGURAR!V58)))</f>
        <v/>
      </c>
      <c r="O64" s="292" t="str">
        <f>IF(CONFIGURAR!$L$3=1,IF(CONFIGURAR!$M58="","",IF(CONFIGURAR!$AH58=TRUE,"",IF(CONFIGURAR!P58="","",CONFIGURAR!P58))),IF(CONFIGURAR!$T58="","",IF(CONFIGURAR!W58="","",CONFIGURAR!W58)))</f>
        <v/>
      </c>
    </row>
    <row r="65" spans="1:15" ht="18.75" customHeight="1" x14ac:dyDescent="0.2">
      <c r="A65" s="159" t="s">
        <v>94</v>
      </c>
      <c r="B65" s="83" t="s">
        <v>94</v>
      </c>
      <c r="C65" s="83" t="s">
        <v>94</v>
      </c>
      <c r="D65" s="83" t="s">
        <v>94</v>
      </c>
      <c r="J65" s="179"/>
      <c r="K65" s="180"/>
      <c r="L65" s="291" t="str">
        <f>IF(CONFIGURAR!$L$3=1,IF(CONFIGURAR!$M59="","",IF(CONFIGURAR!$AH59=TRUE,"",CONFIGURAR!M59)),IF(CONFIGURAR!$T59="","",CONFIGURAR!T59))</f>
        <v/>
      </c>
      <c r="M65" s="292" t="str">
        <f>IF(CONFIGURAR!$L$3=1,IF(CONFIGURAR!$M59="","",IF(CONFIGURAR!$AH59=TRUE,"",IF(CONFIGURAR!N59="","",CONFIGURAR!N59))),IF(CONFIGURAR!$T59="","",IF(CONFIGURAR!U59="","",CONFIGURAR!U59)))</f>
        <v/>
      </c>
      <c r="N65" s="292" t="str">
        <f>IF(CONFIGURAR!$L$3=1,IF(CONFIGURAR!$M59="","",IF(CONFIGURAR!$AH59=TRUE,"",IF(CONFIGURAR!O59="","",CONFIGURAR!O59))),IF(CONFIGURAR!$T59="","",IF(CONFIGURAR!V59="","",CONFIGURAR!V59)))</f>
        <v/>
      </c>
      <c r="O65" s="292" t="str">
        <f>IF(CONFIGURAR!$L$3=1,IF(CONFIGURAR!$M59="","",IF(CONFIGURAR!$AH59=TRUE,"",IF(CONFIGURAR!P59="","",CONFIGURAR!P59))),IF(CONFIGURAR!$T59="","",IF(CONFIGURAR!W59="","",CONFIGURAR!W59)))</f>
        <v/>
      </c>
    </row>
    <row r="66" spans="1:15" ht="18.75" customHeight="1" x14ac:dyDescent="0.2">
      <c r="A66" s="159" t="s">
        <v>94</v>
      </c>
      <c r="B66" s="83" t="s">
        <v>94</v>
      </c>
      <c r="C66" s="83" t="s">
        <v>94</v>
      </c>
      <c r="D66" s="83" t="s">
        <v>94</v>
      </c>
      <c r="J66" s="179"/>
      <c r="K66" s="180"/>
      <c r="L66" s="291" t="str">
        <f>IF(CONFIGURAR!$L$3=1,IF(CONFIGURAR!$M60="","",IF(CONFIGURAR!$AH60=TRUE,"",CONFIGURAR!M60)),IF(CONFIGURAR!$T60="","",CONFIGURAR!T60))</f>
        <v/>
      </c>
      <c r="M66" s="292" t="str">
        <f>IF(CONFIGURAR!$L$3=1,IF(CONFIGURAR!$M60="","",IF(CONFIGURAR!$AH60=TRUE,"",IF(CONFIGURAR!N60="","",CONFIGURAR!N60))),IF(CONFIGURAR!$T60="","",IF(CONFIGURAR!U60="","",CONFIGURAR!U60)))</f>
        <v/>
      </c>
      <c r="N66" s="292" t="str">
        <f>IF(CONFIGURAR!$L$3=1,IF(CONFIGURAR!$M60="","",IF(CONFIGURAR!$AH60=TRUE,"",IF(CONFIGURAR!O60="","",CONFIGURAR!O60))),IF(CONFIGURAR!$T60="","",IF(CONFIGURAR!V60="","",CONFIGURAR!V60)))</f>
        <v/>
      </c>
      <c r="O66" s="292" t="str">
        <f>IF(CONFIGURAR!$L$3=1,IF(CONFIGURAR!$M60="","",IF(CONFIGURAR!$AH60=TRUE,"",IF(CONFIGURAR!P60="","",CONFIGURAR!P60))),IF(CONFIGURAR!$T60="","",IF(CONFIGURAR!W60="","",CONFIGURAR!W60)))</f>
        <v/>
      </c>
    </row>
    <row r="67" spans="1:15" ht="18.75" customHeight="1" x14ac:dyDescent="0.2">
      <c r="A67" s="159" t="s">
        <v>94</v>
      </c>
      <c r="B67" s="83" t="s">
        <v>94</v>
      </c>
      <c r="C67" s="83" t="s">
        <v>94</v>
      </c>
      <c r="D67" s="83" t="s">
        <v>94</v>
      </c>
      <c r="J67" s="179"/>
      <c r="K67" s="180"/>
      <c r="L67" s="291" t="str">
        <f>IF(CONFIGURAR!$L$3=1,IF(CONFIGURAR!$M61="","",IF(CONFIGURAR!$AH61=TRUE,"",CONFIGURAR!M61)),IF(CONFIGURAR!$T61="","",CONFIGURAR!T61))</f>
        <v/>
      </c>
      <c r="M67" s="292" t="str">
        <f>IF(CONFIGURAR!$L$3=1,IF(CONFIGURAR!$M61="","",IF(CONFIGURAR!$AH61=TRUE,"",IF(CONFIGURAR!N61="","",CONFIGURAR!N61))),IF(CONFIGURAR!$T61="","",IF(CONFIGURAR!U61="","",CONFIGURAR!U61)))</f>
        <v/>
      </c>
      <c r="N67" s="292" t="str">
        <f>IF(CONFIGURAR!$L$3=1,IF(CONFIGURAR!$M61="","",IF(CONFIGURAR!$AH61=TRUE,"",IF(CONFIGURAR!O61="","",CONFIGURAR!O61))),IF(CONFIGURAR!$T61="","",IF(CONFIGURAR!V61="","",CONFIGURAR!V61)))</f>
        <v/>
      </c>
      <c r="O67" s="292" t="str">
        <f>IF(CONFIGURAR!$L$3=1,IF(CONFIGURAR!$M61="","",IF(CONFIGURAR!$AH61=TRUE,"",IF(CONFIGURAR!P61="","",CONFIGURAR!P61))),IF(CONFIGURAR!$T61="","",IF(CONFIGURAR!W61="","",CONFIGURAR!W61)))</f>
        <v/>
      </c>
    </row>
    <row r="68" spans="1:15" ht="18.75" customHeight="1" x14ac:dyDescent="0.2">
      <c r="A68" s="159" t="s">
        <v>94</v>
      </c>
      <c r="B68" s="83" t="s">
        <v>94</v>
      </c>
      <c r="C68" s="83" t="s">
        <v>94</v>
      </c>
      <c r="D68" s="83" t="s">
        <v>94</v>
      </c>
      <c r="J68" s="179"/>
      <c r="K68" s="180"/>
      <c r="L68" s="291" t="str">
        <f>IF(CONFIGURAR!$L$3=1,IF(CONFIGURAR!$M62="","",IF(CONFIGURAR!$AH62=TRUE,"",CONFIGURAR!M62)),IF(CONFIGURAR!$T62="","",CONFIGURAR!T62))</f>
        <v/>
      </c>
      <c r="M68" s="292" t="str">
        <f>IF(CONFIGURAR!$L$3=1,IF(CONFIGURAR!$M62="","",IF(CONFIGURAR!$AH62=TRUE,"",IF(CONFIGURAR!N62="","",CONFIGURAR!N62))),IF(CONFIGURAR!$T62="","",IF(CONFIGURAR!U62="","",CONFIGURAR!U62)))</f>
        <v/>
      </c>
      <c r="N68" s="292" t="str">
        <f>IF(CONFIGURAR!$L$3=1,IF(CONFIGURAR!$M62="","",IF(CONFIGURAR!$AH62=TRUE,"",IF(CONFIGURAR!O62="","",CONFIGURAR!O62))),IF(CONFIGURAR!$T62="","",IF(CONFIGURAR!V62="","",CONFIGURAR!V62)))</f>
        <v/>
      </c>
      <c r="O68" s="292" t="str">
        <f>IF(CONFIGURAR!$L$3=1,IF(CONFIGURAR!$M62="","",IF(CONFIGURAR!$AH62=TRUE,"",IF(CONFIGURAR!P62="","",CONFIGURAR!P62))),IF(CONFIGURAR!$T62="","",IF(CONFIGURAR!W62="","",CONFIGURAR!W62)))</f>
        <v/>
      </c>
    </row>
    <row r="69" spans="1:15" ht="18.75" customHeight="1" x14ac:dyDescent="0.2">
      <c r="A69" s="159" t="s">
        <v>94</v>
      </c>
      <c r="B69" s="83" t="s">
        <v>94</v>
      </c>
      <c r="C69" s="83" t="s">
        <v>94</v>
      </c>
      <c r="D69" s="83" t="s">
        <v>94</v>
      </c>
      <c r="J69" s="179"/>
      <c r="K69" s="180"/>
      <c r="L69" s="291" t="str">
        <f>IF(CONFIGURAR!$L$3=1,IF(CONFIGURAR!$M63="","",IF(CONFIGURAR!$AH63=TRUE,"",CONFIGURAR!M63)),IF(CONFIGURAR!$T63="","",CONFIGURAR!T63))</f>
        <v/>
      </c>
      <c r="M69" s="292" t="str">
        <f>IF(CONFIGURAR!$L$3=1,IF(CONFIGURAR!$M63="","",IF(CONFIGURAR!$AH63=TRUE,"",IF(CONFIGURAR!N63="","",CONFIGURAR!N63))),IF(CONFIGURAR!$T63="","",IF(CONFIGURAR!U63="","",CONFIGURAR!U63)))</f>
        <v/>
      </c>
      <c r="N69" s="292" t="str">
        <f>IF(CONFIGURAR!$L$3=1,IF(CONFIGURAR!$M63="","",IF(CONFIGURAR!$AH63=TRUE,"",IF(CONFIGURAR!O63="","",CONFIGURAR!O63))),IF(CONFIGURAR!$T63="","",IF(CONFIGURAR!V63="","",CONFIGURAR!V63)))</f>
        <v/>
      </c>
      <c r="O69" s="292" t="str">
        <f>IF(CONFIGURAR!$L$3=1,IF(CONFIGURAR!$M63="","",IF(CONFIGURAR!$AH63=TRUE,"",IF(CONFIGURAR!P63="","",CONFIGURAR!P63))),IF(CONFIGURAR!$T63="","",IF(CONFIGURAR!W63="","",CONFIGURAR!W63)))</f>
        <v/>
      </c>
    </row>
    <row r="70" spans="1:15" ht="18.75" customHeight="1" x14ac:dyDescent="0.2">
      <c r="A70" s="159" t="s">
        <v>94</v>
      </c>
      <c r="B70" s="83" t="s">
        <v>94</v>
      </c>
      <c r="C70" s="83" t="s">
        <v>94</v>
      </c>
      <c r="D70" s="83" t="s">
        <v>94</v>
      </c>
      <c r="J70" s="179"/>
      <c r="K70" s="180"/>
      <c r="L70" s="291" t="str">
        <f>IF(CONFIGURAR!$L$3=1,IF(CONFIGURAR!$M64="","",IF(CONFIGURAR!$AH64=TRUE,"",CONFIGURAR!M64)),IF(CONFIGURAR!$T64="","",CONFIGURAR!T64))</f>
        <v/>
      </c>
      <c r="M70" s="292" t="str">
        <f>IF(CONFIGURAR!$L$3=1,IF(CONFIGURAR!$M64="","",IF(CONFIGURAR!$AH64=TRUE,"",IF(CONFIGURAR!N64="","",CONFIGURAR!N64))),IF(CONFIGURAR!$T64="","",IF(CONFIGURAR!U64="","",CONFIGURAR!U64)))</f>
        <v/>
      </c>
      <c r="N70" s="292" t="str">
        <f>IF(CONFIGURAR!$L$3=1,IF(CONFIGURAR!$M64="","",IF(CONFIGURAR!$AH64=TRUE,"",IF(CONFIGURAR!O64="","",CONFIGURAR!O64))),IF(CONFIGURAR!$T64="","",IF(CONFIGURAR!V64="","",CONFIGURAR!V64)))</f>
        <v/>
      </c>
      <c r="O70" s="292" t="str">
        <f>IF(CONFIGURAR!$L$3=1,IF(CONFIGURAR!$M64="","",IF(CONFIGURAR!$AH64=TRUE,"",IF(CONFIGURAR!P64="","",CONFIGURAR!P64))),IF(CONFIGURAR!$T64="","",IF(CONFIGURAR!W64="","",CONFIGURAR!W64)))</f>
        <v/>
      </c>
    </row>
    <row r="71" spans="1:15" ht="18.75" customHeight="1" x14ac:dyDescent="0.2">
      <c r="A71" s="159" t="s">
        <v>94</v>
      </c>
      <c r="B71" s="83" t="s">
        <v>94</v>
      </c>
      <c r="C71" s="83" t="s">
        <v>94</v>
      </c>
      <c r="D71" s="83" t="s">
        <v>94</v>
      </c>
      <c r="J71" s="179"/>
      <c r="K71" s="180"/>
      <c r="L71" s="291" t="str">
        <f>IF(CONFIGURAR!$L$3=1,IF(CONFIGURAR!$M65="","",IF(CONFIGURAR!$AH65=TRUE,"",CONFIGURAR!M65)),IF(CONFIGURAR!$T65="","",CONFIGURAR!T65))</f>
        <v/>
      </c>
      <c r="M71" s="292" t="str">
        <f>IF(CONFIGURAR!$L$3=1,IF(CONFIGURAR!$M65="","",IF(CONFIGURAR!$AH65=TRUE,"",IF(CONFIGURAR!N65="","",CONFIGURAR!N65))),IF(CONFIGURAR!$T65="","",IF(CONFIGURAR!U65="","",CONFIGURAR!U65)))</f>
        <v/>
      </c>
      <c r="N71" s="292" t="str">
        <f>IF(CONFIGURAR!$L$3=1,IF(CONFIGURAR!$M65="","",IF(CONFIGURAR!$AH65=TRUE,"",IF(CONFIGURAR!O65="","",CONFIGURAR!O65))),IF(CONFIGURAR!$T65="","",IF(CONFIGURAR!V65="","",CONFIGURAR!V65)))</f>
        <v/>
      </c>
      <c r="O71" s="292" t="str">
        <f>IF(CONFIGURAR!$L$3=1,IF(CONFIGURAR!$M65="","",IF(CONFIGURAR!$AH65=TRUE,"",IF(CONFIGURAR!P65="","",CONFIGURAR!P65))),IF(CONFIGURAR!$T65="","",IF(CONFIGURAR!W65="","",CONFIGURAR!W65)))</f>
        <v/>
      </c>
    </row>
    <row r="72" spans="1:15" ht="18.75" customHeight="1" x14ac:dyDescent="0.2">
      <c r="A72" s="159" t="s">
        <v>94</v>
      </c>
      <c r="B72" s="83" t="s">
        <v>94</v>
      </c>
      <c r="C72" s="83" t="s">
        <v>94</v>
      </c>
      <c r="D72" s="83" t="s">
        <v>94</v>
      </c>
      <c r="J72" s="179"/>
      <c r="K72" s="180"/>
      <c r="L72" s="291" t="str">
        <f>IF(CONFIGURAR!$L$3=1,IF(CONFIGURAR!$M66="","",IF(CONFIGURAR!$AH66=TRUE,"",CONFIGURAR!M66)),IF(CONFIGURAR!$T66="","",CONFIGURAR!T66))</f>
        <v/>
      </c>
      <c r="M72" s="292" t="str">
        <f>IF(CONFIGURAR!$L$3=1,IF(CONFIGURAR!$M66="","",IF(CONFIGURAR!$AH66=TRUE,"",IF(CONFIGURAR!N66="","",CONFIGURAR!N66))),IF(CONFIGURAR!$T66="","",IF(CONFIGURAR!U66="","",CONFIGURAR!U66)))</f>
        <v/>
      </c>
      <c r="N72" s="292" t="str">
        <f>IF(CONFIGURAR!$L$3=1,IF(CONFIGURAR!$M66="","",IF(CONFIGURAR!$AH66=TRUE,"",IF(CONFIGURAR!O66="","",CONFIGURAR!O66))),IF(CONFIGURAR!$T66="","",IF(CONFIGURAR!V66="","",CONFIGURAR!V66)))</f>
        <v/>
      </c>
      <c r="O72" s="292" t="str">
        <f>IF(CONFIGURAR!$L$3=1,IF(CONFIGURAR!$M66="","",IF(CONFIGURAR!$AH66=TRUE,"",IF(CONFIGURAR!P66="","",CONFIGURAR!P66))),IF(CONFIGURAR!$T66="","",IF(CONFIGURAR!W66="","",CONFIGURAR!W66)))</f>
        <v/>
      </c>
    </row>
    <row r="73" spans="1:15" ht="18.75" customHeight="1" x14ac:dyDescent="0.2">
      <c r="A73" s="159" t="s">
        <v>94</v>
      </c>
      <c r="B73" s="83" t="s">
        <v>94</v>
      </c>
      <c r="C73" s="83" t="s">
        <v>94</v>
      </c>
      <c r="D73" s="83" t="s">
        <v>94</v>
      </c>
      <c r="J73" s="179"/>
      <c r="K73" s="180"/>
      <c r="L73" s="291" t="str">
        <f>IF(CONFIGURAR!$L$3=1,IF(CONFIGURAR!$M67="","",IF(CONFIGURAR!$AH67=TRUE,"",CONFIGURAR!M67)),IF(CONFIGURAR!$T67="","",CONFIGURAR!T67))</f>
        <v/>
      </c>
      <c r="M73" s="292" t="str">
        <f>IF(CONFIGURAR!$L$3=1,IF(CONFIGURAR!$M67="","",IF(CONFIGURAR!$AH67=TRUE,"",IF(CONFIGURAR!N67="","",CONFIGURAR!N67))),IF(CONFIGURAR!$T67="","",IF(CONFIGURAR!U67="","",CONFIGURAR!U67)))</f>
        <v/>
      </c>
      <c r="N73" s="292" t="str">
        <f>IF(CONFIGURAR!$L$3=1,IF(CONFIGURAR!$M67="","",IF(CONFIGURAR!$AH67=TRUE,"",IF(CONFIGURAR!O67="","",CONFIGURAR!O67))),IF(CONFIGURAR!$T67="","",IF(CONFIGURAR!V67="","",CONFIGURAR!V67)))</f>
        <v/>
      </c>
      <c r="O73" s="292" t="str">
        <f>IF(CONFIGURAR!$L$3=1,IF(CONFIGURAR!$M67="","",IF(CONFIGURAR!$AH67=TRUE,"",IF(CONFIGURAR!P67="","",CONFIGURAR!P67))),IF(CONFIGURAR!$T67="","",IF(CONFIGURAR!W67="","",CONFIGURAR!W67)))</f>
        <v/>
      </c>
    </row>
    <row r="74" spans="1:15" ht="18.75" customHeight="1" x14ac:dyDescent="0.2">
      <c r="A74" s="159" t="s">
        <v>94</v>
      </c>
      <c r="B74" s="83" t="s">
        <v>94</v>
      </c>
      <c r="C74" s="83" t="s">
        <v>94</v>
      </c>
      <c r="D74" s="83" t="s">
        <v>94</v>
      </c>
      <c r="J74" s="179"/>
      <c r="K74" s="180"/>
      <c r="L74" s="291" t="str">
        <f>IF(CONFIGURAR!$L$3=1,IF(CONFIGURAR!$M68="","",IF(CONFIGURAR!$AH68=TRUE,"",CONFIGURAR!M68)),IF(CONFIGURAR!$T68="","",CONFIGURAR!T68))</f>
        <v/>
      </c>
      <c r="M74" s="292" t="str">
        <f>IF(CONFIGURAR!$L$3=1,IF(CONFIGURAR!$M68="","",IF(CONFIGURAR!$AH68=TRUE,"",IF(CONFIGURAR!N68="","",CONFIGURAR!N68))),IF(CONFIGURAR!$T68="","",IF(CONFIGURAR!U68="","",CONFIGURAR!U68)))</f>
        <v/>
      </c>
      <c r="N74" s="292" t="str">
        <f>IF(CONFIGURAR!$L$3=1,IF(CONFIGURAR!$M68="","",IF(CONFIGURAR!$AH68=TRUE,"",IF(CONFIGURAR!O68="","",CONFIGURAR!O68))),IF(CONFIGURAR!$T68="","",IF(CONFIGURAR!V68="","",CONFIGURAR!V68)))</f>
        <v/>
      </c>
      <c r="O74" s="292" t="str">
        <f>IF(CONFIGURAR!$L$3=1,IF(CONFIGURAR!$M68="","",IF(CONFIGURAR!$AH68=TRUE,"",IF(CONFIGURAR!P68="","",CONFIGURAR!P68))),IF(CONFIGURAR!$T68="","",IF(CONFIGURAR!W68="","",CONFIGURAR!W68)))</f>
        <v/>
      </c>
    </row>
    <row r="75" spans="1:15" ht="18.75" customHeight="1" x14ac:dyDescent="0.2">
      <c r="A75" s="159" t="s">
        <v>94</v>
      </c>
      <c r="B75" s="83" t="s">
        <v>94</v>
      </c>
      <c r="C75" s="83" t="s">
        <v>94</v>
      </c>
      <c r="D75" s="83" t="s">
        <v>94</v>
      </c>
      <c r="J75" s="179"/>
      <c r="K75" s="180"/>
      <c r="L75" s="291" t="str">
        <f>IF(CONFIGURAR!$L$3=1,IF(CONFIGURAR!$M69="","",IF(CONFIGURAR!$AH69=TRUE,"",CONFIGURAR!M69)),IF(CONFIGURAR!$T69="","",CONFIGURAR!T69))</f>
        <v/>
      </c>
      <c r="M75" s="292" t="str">
        <f>IF(CONFIGURAR!$L$3=1,IF(CONFIGURAR!$M69="","",IF(CONFIGURAR!$AH69=TRUE,"",IF(CONFIGURAR!N69="","",CONFIGURAR!N69))),IF(CONFIGURAR!$T69="","",IF(CONFIGURAR!U69="","",CONFIGURAR!U69)))</f>
        <v/>
      </c>
      <c r="N75" s="292" t="str">
        <f>IF(CONFIGURAR!$L$3=1,IF(CONFIGURAR!$M69="","",IF(CONFIGURAR!$AH69=TRUE,"",IF(CONFIGURAR!O69="","",CONFIGURAR!O69))),IF(CONFIGURAR!$T69="","",IF(CONFIGURAR!V69="","",CONFIGURAR!V69)))</f>
        <v/>
      </c>
      <c r="O75" s="292" t="str">
        <f>IF(CONFIGURAR!$L$3=1,IF(CONFIGURAR!$M69="","",IF(CONFIGURAR!$AH69=TRUE,"",IF(CONFIGURAR!P69="","",CONFIGURAR!P69))),IF(CONFIGURAR!$T69="","",IF(CONFIGURAR!W69="","",CONFIGURAR!W69)))</f>
        <v/>
      </c>
    </row>
    <row r="76" spans="1:15" ht="18.75" customHeight="1" x14ac:dyDescent="0.2">
      <c r="A76" s="159" t="s">
        <v>94</v>
      </c>
      <c r="B76" s="83" t="s">
        <v>94</v>
      </c>
      <c r="C76" s="83" t="s">
        <v>94</v>
      </c>
      <c r="D76" s="83" t="s">
        <v>94</v>
      </c>
      <c r="J76" s="179"/>
      <c r="K76" s="180"/>
      <c r="L76" s="291" t="str">
        <f>IF(CONFIGURAR!$L$3=1,IF(CONFIGURAR!$M70="","",IF(CONFIGURAR!$AH70=TRUE,"",CONFIGURAR!M70)),IF(CONFIGURAR!$T70="","",CONFIGURAR!T70))</f>
        <v/>
      </c>
      <c r="M76" s="292" t="str">
        <f>IF(CONFIGURAR!$L$3=1,IF(CONFIGURAR!$M70="","",IF(CONFIGURAR!$AH70=TRUE,"",IF(CONFIGURAR!N70="","",CONFIGURAR!N70))),IF(CONFIGURAR!$T70="","",IF(CONFIGURAR!U70="","",CONFIGURAR!U70)))</f>
        <v/>
      </c>
      <c r="N76" s="292" t="str">
        <f>IF(CONFIGURAR!$L$3=1,IF(CONFIGURAR!$M70="","",IF(CONFIGURAR!$AH70=TRUE,"",IF(CONFIGURAR!O70="","",CONFIGURAR!O70))),IF(CONFIGURAR!$T70="","",IF(CONFIGURAR!V70="","",CONFIGURAR!V70)))</f>
        <v/>
      </c>
      <c r="O76" s="292" t="str">
        <f>IF(CONFIGURAR!$L$3=1,IF(CONFIGURAR!$M70="","",IF(CONFIGURAR!$AH70=TRUE,"",IF(CONFIGURAR!P70="","",CONFIGURAR!P70))),IF(CONFIGURAR!$T70="","",IF(CONFIGURAR!W70="","",CONFIGURAR!W70)))</f>
        <v/>
      </c>
    </row>
    <row r="77" spans="1:15" ht="18.75" customHeight="1" x14ac:dyDescent="0.2">
      <c r="A77" s="159" t="s">
        <v>94</v>
      </c>
      <c r="B77" s="83" t="s">
        <v>94</v>
      </c>
      <c r="C77" s="83" t="s">
        <v>94</v>
      </c>
      <c r="D77" s="83" t="s">
        <v>94</v>
      </c>
      <c r="J77" s="179"/>
      <c r="K77" s="180"/>
      <c r="L77" s="291" t="str">
        <f>IF(CONFIGURAR!$L$3=1,IF(CONFIGURAR!$M71="","",IF(CONFIGURAR!$AH71=TRUE,"",CONFIGURAR!M71)),IF(CONFIGURAR!$T71="","",CONFIGURAR!T71))</f>
        <v/>
      </c>
      <c r="M77" s="292" t="str">
        <f>IF(CONFIGURAR!$L$3=1,IF(CONFIGURAR!$M71="","",IF(CONFIGURAR!$AH71=TRUE,"",IF(CONFIGURAR!N71="","",CONFIGURAR!N71))),IF(CONFIGURAR!$T71="","",IF(CONFIGURAR!U71="","",CONFIGURAR!U71)))</f>
        <v/>
      </c>
      <c r="N77" s="292" t="str">
        <f>IF(CONFIGURAR!$L$3=1,IF(CONFIGURAR!$M71="","",IF(CONFIGURAR!$AH71=TRUE,"",IF(CONFIGURAR!O71="","",CONFIGURAR!O71))),IF(CONFIGURAR!$T71="","",IF(CONFIGURAR!V71="","",CONFIGURAR!V71)))</f>
        <v/>
      </c>
      <c r="O77" s="292" t="str">
        <f>IF(CONFIGURAR!$L$3=1,IF(CONFIGURAR!$M71="","",IF(CONFIGURAR!$AH71=TRUE,"",IF(CONFIGURAR!P71="","",CONFIGURAR!P71))),IF(CONFIGURAR!$T71="","",IF(CONFIGURAR!W71="","",CONFIGURAR!W71)))</f>
        <v/>
      </c>
    </row>
    <row r="78" spans="1:15" ht="18.75" customHeight="1" x14ac:dyDescent="0.2">
      <c r="A78" s="159" t="s">
        <v>94</v>
      </c>
      <c r="B78" s="83" t="s">
        <v>94</v>
      </c>
      <c r="C78" s="83" t="s">
        <v>94</v>
      </c>
      <c r="D78" s="83" t="s">
        <v>94</v>
      </c>
      <c r="J78" s="179"/>
      <c r="K78" s="180"/>
      <c r="L78" s="291" t="str">
        <f>IF(CONFIGURAR!$L$3=1,IF(CONFIGURAR!$M72="","",IF(CONFIGURAR!$AH72=TRUE,"",CONFIGURAR!M72)),IF(CONFIGURAR!$T72="","",CONFIGURAR!T72))</f>
        <v/>
      </c>
      <c r="M78" s="292" t="str">
        <f>IF(CONFIGURAR!$L$3=1,IF(CONFIGURAR!$M72="","",IF(CONFIGURAR!$AH72=TRUE,"",IF(CONFIGURAR!N72="","",CONFIGURAR!N72))),IF(CONFIGURAR!$T72="","",IF(CONFIGURAR!U72="","",CONFIGURAR!U72)))</f>
        <v/>
      </c>
      <c r="N78" s="292" t="str">
        <f>IF(CONFIGURAR!$L$3=1,IF(CONFIGURAR!$M72="","",IF(CONFIGURAR!$AH72=TRUE,"",IF(CONFIGURAR!O72="","",CONFIGURAR!O72))),IF(CONFIGURAR!$T72="","",IF(CONFIGURAR!V72="","",CONFIGURAR!V72)))</f>
        <v/>
      </c>
      <c r="O78" s="292" t="str">
        <f>IF(CONFIGURAR!$L$3=1,IF(CONFIGURAR!$M72="","",IF(CONFIGURAR!$AH72=TRUE,"",IF(CONFIGURAR!P72="","",CONFIGURAR!P72))),IF(CONFIGURAR!$T72="","",IF(CONFIGURAR!W72="","",CONFIGURAR!W72)))</f>
        <v/>
      </c>
    </row>
    <row r="79" spans="1:15" ht="18.75" customHeight="1" x14ac:dyDescent="0.2">
      <c r="A79" s="159" t="s">
        <v>94</v>
      </c>
      <c r="B79" s="83" t="s">
        <v>94</v>
      </c>
      <c r="C79" s="83" t="s">
        <v>94</v>
      </c>
      <c r="D79" s="83" t="s">
        <v>94</v>
      </c>
      <c r="J79" s="179"/>
      <c r="K79" s="180"/>
      <c r="L79" s="291" t="str">
        <f>IF(CONFIGURAR!$L$3=1,IF(CONFIGURAR!$M73="","",IF(CONFIGURAR!$AH73=TRUE,"",CONFIGURAR!M73)),IF(CONFIGURAR!$T73="","",CONFIGURAR!T73))</f>
        <v/>
      </c>
      <c r="M79" s="292" t="str">
        <f>IF(CONFIGURAR!$L$3=1,IF(CONFIGURAR!$M73="","",IF(CONFIGURAR!$AH73=TRUE,"",IF(CONFIGURAR!N73="","",CONFIGURAR!N73))),IF(CONFIGURAR!$T73="","",IF(CONFIGURAR!U73="","",CONFIGURAR!U73)))</f>
        <v/>
      </c>
      <c r="N79" s="292" t="str">
        <f>IF(CONFIGURAR!$L$3=1,IF(CONFIGURAR!$M73="","",IF(CONFIGURAR!$AH73=TRUE,"",IF(CONFIGURAR!O73="","",CONFIGURAR!O73))),IF(CONFIGURAR!$T73="","",IF(CONFIGURAR!V73="","",CONFIGURAR!V73)))</f>
        <v/>
      </c>
      <c r="O79" s="292" t="str">
        <f>IF(CONFIGURAR!$L$3=1,IF(CONFIGURAR!$M73="","",IF(CONFIGURAR!$AH73=TRUE,"",IF(CONFIGURAR!P73="","",CONFIGURAR!P73))),IF(CONFIGURAR!$T73="","",IF(CONFIGURAR!W73="","",CONFIGURAR!W73)))</f>
        <v/>
      </c>
    </row>
    <row r="80" spans="1:15" ht="18.75" customHeight="1" x14ac:dyDescent="0.2">
      <c r="A80" s="159" t="s">
        <v>94</v>
      </c>
      <c r="B80" s="83" t="s">
        <v>94</v>
      </c>
      <c r="C80" s="83" t="s">
        <v>94</v>
      </c>
      <c r="D80" s="83" t="s">
        <v>94</v>
      </c>
      <c r="J80" s="179"/>
      <c r="K80" s="180"/>
      <c r="L80" s="291" t="str">
        <f>IF(CONFIGURAR!$L$3=1,IF(CONFIGURAR!$M74="","",IF(CONFIGURAR!$AH74=TRUE,"",CONFIGURAR!M74)),IF(CONFIGURAR!$T74="","",CONFIGURAR!T74))</f>
        <v/>
      </c>
      <c r="M80" s="292" t="str">
        <f>IF(CONFIGURAR!$L$3=1,IF(CONFIGURAR!$M74="","",IF(CONFIGURAR!$AH74=TRUE,"",IF(CONFIGURAR!N74="","",CONFIGURAR!N74))),IF(CONFIGURAR!$T74="","",IF(CONFIGURAR!U74="","",CONFIGURAR!U74)))</f>
        <v/>
      </c>
      <c r="N80" s="292" t="str">
        <f>IF(CONFIGURAR!$L$3=1,IF(CONFIGURAR!$M74="","",IF(CONFIGURAR!$AH74=TRUE,"",IF(CONFIGURAR!O74="","",CONFIGURAR!O74))),IF(CONFIGURAR!$T74="","",IF(CONFIGURAR!V74="","",CONFIGURAR!V74)))</f>
        <v/>
      </c>
      <c r="O80" s="292" t="str">
        <f>IF(CONFIGURAR!$L$3=1,IF(CONFIGURAR!$M74="","",IF(CONFIGURAR!$AH74=TRUE,"",IF(CONFIGURAR!P74="","",CONFIGURAR!P74))),IF(CONFIGURAR!$T74="","",IF(CONFIGURAR!W74="","",CONFIGURAR!W74)))</f>
        <v/>
      </c>
    </row>
    <row r="81" spans="1:15" ht="18.75" customHeight="1" x14ac:dyDescent="0.2">
      <c r="A81" s="159" t="s">
        <v>94</v>
      </c>
      <c r="B81" s="83" t="s">
        <v>94</v>
      </c>
      <c r="C81" s="83" t="s">
        <v>94</v>
      </c>
      <c r="D81" s="83" t="s">
        <v>94</v>
      </c>
      <c r="J81" s="179"/>
      <c r="K81" s="180"/>
      <c r="L81" s="291" t="str">
        <f>IF(CONFIGURAR!$L$3=1,IF(CONFIGURAR!$M75="","",IF(CONFIGURAR!$AH75=TRUE,"",CONFIGURAR!M75)),IF(CONFIGURAR!$T75="","",CONFIGURAR!T75))</f>
        <v/>
      </c>
      <c r="M81" s="292" t="str">
        <f>IF(CONFIGURAR!$L$3=1,IF(CONFIGURAR!$M75="","",IF(CONFIGURAR!$AH75=TRUE,"",IF(CONFIGURAR!N75="","",CONFIGURAR!N75))),IF(CONFIGURAR!$T75="","",IF(CONFIGURAR!U75="","",CONFIGURAR!U75)))</f>
        <v/>
      </c>
      <c r="N81" s="292" t="str">
        <f>IF(CONFIGURAR!$L$3=1,IF(CONFIGURAR!$M75="","",IF(CONFIGURAR!$AH75=TRUE,"",IF(CONFIGURAR!O75="","",CONFIGURAR!O75))),IF(CONFIGURAR!$T75="","",IF(CONFIGURAR!V75="","",CONFIGURAR!V75)))</f>
        <v/>
      </c>
      <c r="O81" s="292" t="str">
        <f>IF(CONFIGURAR!$L$3=1,IF(CONFIGURAR!$M75="","",IF(CONFIGURAR!$AH75=TRUE,"",IF(CONFIGURAR!P75="","",CONFIGURAR!P75))),IF(CONFIGURAR!$T75="","",IF(CONFIGURAR!W75="","",CONFIGURAR!W75)))</f>
        <v/>
      </c>
    </row>
    <row r="82" spans="1:15" ht="18.75" customHeight="1" x14ac:dyDescent="0.2">
      <c r="A82" s="159" t="s">
        <v>94</v>
      </c>
      <c r="B82" s="83" t="s">
        <v>94</v>
      </c>
      <c r="C82" s="83" t="s">
        <v>94</v>
      </c>
      <c r="D82" s="83" t="s">
        <v>94</v>
      </c>
      <c r="J82" s="179"/>
      <c r="K82" s="180"/>
      <c r="L82" s="291" t="str">
        <f>IF(CONFIGURAR!$L$3=1,IF(CONFIGURAR!$M76="","",IF(CONFIGURAR!$AH76=TRUE,"",CONFIGURAR!M76)),IF(CONFIGURAR!$T76="","",CONFIGURAR!T76))</f>
        <v/>
      </c>
      <c r="M82" s="292" t="str">
        <f>IF(CONFIGURAR!$L$3=1,IF(CONFIGURAR!$M76="","",IF(CONFIGURAR!$AH76=TRUE,"",IF(CONFIGURAR!N76="","",CONFIGURAR!N76))),IF(CONFIGURAR!$T76="","",IF(CONFIGURAR!U76="","",CONFIGURAR!U76)))</f>
        <v/>
      </c>
      <c r="N82" s="292" t="str">
        <f>IF(CONFIGURAR!$L$3=1,IF(CONFIGURAR!$M76="","",IF(CONFIGURAR!$AH76=TRUE,"",IF(CONFIGURAR!O76="","",CONFIGURAR!O76))),IF(CONFIGURAR!$T76="","",IF(CONFIGURAR!V76="","",CONFIGURAR!V76)))</f>
        <v/>
      </c>
      <c r="O82" s="292" t="str">
        <f>IF(CONFIGURAR!$L$3=1,IF(CONFIGURAR!$M76="","",IF(CONFIGURAR!$AH76=TRUE,"",IF(CONFIGURAR!P76="","",CONFIGURAR!P76))),IF(CONFIGURAR!$T76="","",IF(CONFIGURAR!W76="","",CONFIGURAR!W76)))</f>
        <v/>
      </c>
    </row>
    <row r="83" spans="1:15" ht="18.75" customHeight="1" x14ac:dyDescent="0.2">
      <c r="A83" s="159" t="s">
        <v>94</v>
      </c>
      <c r="B83" s="83" t="s">
        <v>94</v>
      </c>
      <c r="C83" s="83" t="s">
        <v>94</v>
      </c>
      <c r="D83" s="83" t="s">
        <v>94</v>
      </c>
      <c r="J83" s="179"/>
      <c r="K83" s="180"/>
      <c r="L83" s="291" t="str">
        <f>IF(CONFIGURAR!$L$3=1,IF(CONFIGURAR!$M77="","",IF(CONFIGURAR!$AH77=TRUE,"",CONFIGURAR!M77)),IF(CONFIGURAR!$T77="","",CONFIGURAR!T77))</f>
        <v/>
      </c>
      <c r="M83" s="292" t="str">
        <f>IF(CONFIGURAR!$L$3=1,IF(CONFIGURAR!$M77="","",IF(CONFIGURAR!$AH77=TRUE,"",IF(CONFIGURAR!N77="","",CONFIGURAR!N77))),IF(CONFIGURAR!$T77="","",IF(CONFIGURAR!U77="","",CONFIGURAR!U77)))</f>
        <v/>
      </c>
      <c r="N83" s="292" t="str">
        <f>IF(CONFIGURAR!$L$3=1,IF(CONFIGURAR!$M77="","",IF(CONFIGURAR!$AH77=TRUE,"",IF(CONFIGURAR!O77="","",CONFIGURAR!O77))),IF(CONFIGURAR!$T77="","",IF(CONFIGURAR!V77="","",CONFIGURAR!V77)))</f>
        <v/>
      </c>
      <c r="O83" s="292" t="str">
        <f>IF(CONFIGURAR!$L$3=1,IF(CONFIGURAR!$M77="","",IF(CONFIGURAR!$AH77=TRUE,"",IF(CONFIGURAR!P77="","",CONFIGURAR!P77))),IF(CONFIGURAR!$T77="","",IF(CONFIGURAR!W77="","",CONFIGURAR!W77)))</f>
        <v/>
      </c>
    </row>
    <row r="84" spans="1:15" ht="18.75" customHeight="1" x14ac:dyDescent="0.2">
      <c r="A84" s="159" t="s">
        <v>94</v>
      </c>
      <c r="B84" s="83" t="s">
        <v>94</v>
      </c>
      <c r="C84" s="83" t="s">
        <v>94</v>
      </c>
      <c r="D84" s="83" t="s">
        <v>94</v>
      </c>
      <c r="J84" s="179"/>
      <c r="K84" s="180"/>
      <c r="L84" s="291" t="str">
        <f>IF(CONFIGURAR!$L$3=1,IF(CONFIGURAR!$M78="","",IF(CONFIGURAR!$AH78=TRUE,"",CONFIGURAR!M78)),IF(CONFIGURAR!$T78="","",CONFIGURAR!T78))</f>
        <v/>
      </c>
      <c r="M84" s="292" t="str">
        <f>IF(CONFIGURAR!$L$3=1,IF(CONFIGURAR!$M78="","",IF(CONFIGURAR!$AH78=TRUE,"",IF(CONFIGURAR!N78="","",CONFIGURAR!N78))),IF(CONFIGURAR!$T78="","",IF(CONFIGURAR!U78="","",CONFIGURAR!U78)))</f>
        <v/>
      </c>
      <c r="N84" s="292" t="str">
        <f>IF(CONFIGURAR!$L$3=1,IF(CONFIGURAR!$M78="","",IF(CONFIGURAR!$AH78=TRUE,"",IF(CONFIGURAR!O78="","",CONFIGURAR!O78))),IF(CONFIGURAR!$T78="","",IF(CONFIGURAR!V78="","",CONFIGURAR!V78)))</f>
        <v/>
      </c>
      <c r="O84" s="292" t="str">
        <f>IF(CONFIGURAR!$L$3=1,IF(CONFIGURAR!$M78="","",IF(CONFIGURAR!$AH78=TRUE,"",IF(CONFIGURAR!P78="","",CONFIGURAR!P78))),IF(CONFIGURAR!$T78="","",IF(CONFIGURAR!W78="","",CONFIGURAR!W78)))</f>
        <v/>
      </c>
    </row>
    <row r="85" spans="1:15" ht="18.75" customHeight="1" x14ac:dyDescent="0.2">
      <c r="A85" s="159" t="s">
        <v>94</v>
      </c>
      <c r="B85" s="83" t="s">
        <v>94</v>
      </c>
      <c r="C85" s="83" t="s">
        <v>94</v>
      </c>
      <c r="D85" s="83" t="s">
        <v>94</v>
      </c>
      <c r="J85" s="179"/>
      <c r="K85" s="180"/>
      <c r="L85" s="291" t="str">
        <f>IF(CONFIGURAR!$L$3=1,IF(CONFIGURAR!$M79="","",IF(CONFIGURAR!$AH79=TRUE,"",CONFIGURAR!M79)),IF(CONFIGURAR!$T79="","",CONFIGURAR!T79))</f>
        <v/>
      </c>
      <c r="M85" s="292" t="str">
        <f>IF(CONFIGURAR!$L$3=1,IF(CONFIGURAR!$M79="","",IF(CONFIGURAR!$AH79=TRUE,"",IF(CONFIGURAR!N79="","",CONFIGURAR!N79))),IF(CONFIGURAR!$T79="","",IF(CONFIGURAR!U79="","",CONFIGURAR!U79)))</f>
        <v/>
      </c>
      <c r="N85" s="292" t="str">
        <f>IF(CONFIGURAR!$L$3=1,IF(CONFIGURAR!$M79="","",IF(CONFIGURAR!$AH79=TRUE,"",IF(CONFIGURAR!O79="","",CONFIGURAR!O79))),IF(CONFIGURAR!$T79="","",IF(CONFIGURAR!V79="","",CONFIGURAR!V79)))</f>
        <v/>
      </c>
      <c r="O85" s="292" t="str">
        <f>IF(CONFIGURAR!$L$3=1,IF(CONFIGURAR!$M79="","",IF(CONFIGURAR!$AH79=TRUE,"",IF(CONFIGURAR!P79="","",CONFIGURAR!P79))),IF(CONFIGURAR!$T79="","",IF(CONFIGURAR!W79="","",CONFIGURAR!W79)))</f>
        <v/>
      </c>
    </row>
    <row r="86" spans="1:15" ht="18.75" customHeight="1" x14ac:dyDescent="0.2">
      <c r="A86" s="159" t="s">
        <v>94</v>
      </c>
      <c r="B86" s="83" t="s">
        <v>94</v>
      </c>
      <c r="C86" s="83" t="s">
        <v>94</v>
      </c>
      <c r="D86" s="83" t="s">
        <v>94</v>
      </c>
      <c r="J86" s="179"/>
      <c r="K86" s="180"/>
      <c r="L86" s="291" t="str">
        <f>IF(CONFIGURAR!$L$3=1,IF(CONFIGURAR!$M80="","",IF(CONFIGURAR!$AH80=TRUE,"",CONFIGURAR!M80)),IF(CONFIGURAR!$T80="","",CONFIGURAR!T80))</f>
        <v/>
      </c>
      <c r="M86" s="292" t="str">
        <f>IF(CONFIGURAR!$L$3=1,IF(CONFIGURAR!$M80="","",IF(CONFIGURAR!$AH80=TRUE,"",IF(CONFIGURAR!N80="","",CONFIGURAR!N80))),IF(CONFIGURAR!$T80="","",IF(CONFIGURAR!U80="","",CONFIGURAR!U80)))</f>
        <v/>
      </c>
      <c r="N86" s="292" t="str">
        <f>IF(CONFIGURAR!$L$3=1,IF(CONFIGURAR!$M80="","",IF(CONFIGURAR!$AH80=TRUE,"",IF(CONFIGURAR!O80="","",CONFIGURAR!O80))),IF(CONFIGURAR!$T80="","",IF(CONFIGURAR!V80="","",CONFIGURAR!V80)))</f>
        <v/>
      </c>
      <c r="O86" s="292" t="str">
        <f>IF(CONFIGURAR!$L$3=1,IF(CONFIGURAR!$M80="","",IF(CONFIGURAR!$AH80=TRUE,"",IF(CONFIGURAR!P80="","",CONFIGURAR!P80))),IF(CONFIGURAR!$T80="","",IF(CONFIGURAR!W80="","",CONFIGURAR!W80)))</f>
        <v/>
      </c>
    </row>
    <row r="87" spans="1:15" ht="18.75" customHeight="1" x14ac:dyDescent="0.2">
      <c r="A87" s="159" t="s">
        <v>94</v>
      </c>
      <c r="B87" s="83" t="s">
        <v>94</v>
      </c>
      <c r="C87" s="83" t="s">
        <v>94</v>
      </c>
      <c r="D87" s="83" t="s">
        <v>94</v>
      </c>
      <c r="J87" s="179"/>
      <c r="K87" s="180"/>
      <c r="L87" s="291" t="str">
        <f>IF(CONFIGURAR!$L$3=1,IF(CONFIGURAR!$M81="","",IF(CONFIGURAR!$AH81=TRUE,"",CONFIGURAR!M81)),IF(CONFIGURAR!$T81="","",CONFIGURAR!T81))</f>
        <v/>
      </c>
      <c r="M87" s="292" t="str">
        <f>IF(CONFIGURAR!$L$3=1,IF(CONFIGURAR!$M81="","",IF(CONFIGURAR!$AH81=TRUE,"",IF(CONFIGURAR!N81="","",CONFIGURAR!N81))),IF(CONFIGURAR!$T81="","",IF(CONFIGURAR!U81="","",CONFIGURAR!U81)))</f>
        <v/>
      </c>
      <c r="N87" s="292" t="str">
        <f>IF(CONFIGURAR!$L$3=1,IF(CONFIGURAR!$M81="","",IF(CONFIGURAR!$AH81=TRUE,"",IF(CONFIGURAR!O81="","",CONFIGURAR!O81))),IF(CONFIGURAR!$T81="","",IF(CONFIGURAR!V81="","",CONFIGURAR!V81)))</f>
        <v/>
      </c>
      <c r="O87" s="292" t="str">
        <f>IF(CONFIGURAR!$L$3=1,IF(CONFIGURAR!$M81="","",IF(CONFIGURAR!$AH81=TRUE,"",IF(CONFIGURAR!P81="","",CONFIGURAR!P81))),IF(CONFIGURAR!$T81="","",IF(CONFIGURAR!W81="","",CONFIGURAR!W81)))</f>
        <v/>
      </c>
    </row>
    <row r="88" spans="1:15" ht="18.75" customHeight="1" x14ac:dyDescent="0.2">
      <c r="A88" s="159" t="s">
        <v>94</v>
      </c>
      <c r="B88" s="83" t="s">
        <v>94</v>
      </c>
      <c r="C88" s="83" t="s">
        <v>94</v>
      </c>
      <c r="D88" s="83" t="s">
        <v>94</v>
      </c>
      <c r="J88" s="179"/>
      <c r="K88" s="180"/>
      <c r="L88" s="291" t="str">
        <f>IF(CONFIGURAR!$L$3=1,IF(CONFIGURAR!$M82="","",IF(CONFIGURAR!$AH82=TRUE,"",CONFIGURAR!M82)),IF(CONFIGURAR!$T82="","",CONFIGURAR!T82))</f>
        <v/>
      </c>
      <c r="M88" s="292" t="str">
        <f>IF(CONFIGURAR!$L$3=1,IF(CONFIGURAR!$M82="","",IF(CONFIGURAR!$AH82=TRUE,"",IF(CONFIGURAR!N82="","",CONFIGURAR!N82))),IF(CONFIGURAR!$T82="","",IF(CONFIGURAR!U82="","",CONFIGURAR!U82)))</f>
        <v/>
      </c>
      <c r="N88" s="292" t="str">
        <f>IF(CONFIGURAR!$L$3=1,IF(CONFIGURAR!$M82="","",IF(CONFIGURAR!$AH82=TRUE,"",IF(CONFIGURAR!O82="","",CONFIGURAR!O82))),IF(CONFIGURAR!$T82="","",IF(CONFIGURAR!V82="","",CONFIGURAR!V82)))</f>
        <v/>
      </c>
      <c r="O88" s="292" t="str">
        <f>IF(CONFIGURAR!$L$3=1,IF(CONFIGURAR!$M82="","",IF(CONFIGURAR!$AH82=TRUE,"",IF(CONFIGURAR!P82="","",CONFIGURAR!P82))),IF(CONFIGURAR!$T82="","",IF(CONFIGURAR!W82="","",CONFIGURAR!W82)))</f>
        <v/>
      </c>
    </row>
    <row r="89" spans="1:15" ht="18.75" customHeight="1" x14ac:dyDescent="0.2">
      <c r="A89" s="159" t="s">
        <v>94</v>
      </c>
      <c r="B89" s="83" t="s">
        <v>94</v>
      </c>
      <c r="C89" s="83" t="s">
        <v>94</v>
      </c>
      <c r="D89" s="83" t="s">
        <v>94</v>
      </c>
      <c r="J89" s="179"/>
      <c r="K89" s="180"/>
      <c r="L89" s="291" t="str">
        <f>IF(CONFIGURAR!$L$3=1,IF(CONFIGURAR!$M83="","",IF(CONFIGURAR!$AH83=TRUE,"",CONFIGURAR!M83)),IF(CONFIGURAR!$T83="","",CONFIGURAR!T83))</f>
        <v/>
      </c>
      <c r="M89" s="292" t="str">
        <f>IF(CONFIGURAR!$L$3=1,IF(CONFIGURAR!$M83="","",IF(CONFIGURAR!$AH83=TRUE,"",IF(CONFIGURAR!N83="","",CONFIGURAR!N83))),IF(CONFIGURAR!$T83="","",IF(CONFIGURAR!U83="","",CONFIGURAR!U83)))</f>
        <v/>
      </c>
      <c r="N89" s="292" t="str">
        <f>IF(CONFIGURAR!$L$3=1,IF(CONFIGURAR!$M83="","",IF(CONFIGURAR!$AH83=TRUE,"",IF(CONFIGURAR!O83="","",CONFIGURAR!O83))),IF(CONFIGURAR!$T83="","",IF(CONFIGURAR!V83="","",CONFIGURAR!V83)))</f>
        <v/>
      </c>
      <c r="O89" s="292" t="str">
        <f>IF(CONFIGURAR!$L$3=1,IF(CONFIGURAR!$M83="","",IF(CONFIGURAR!$AH83=TRUE,"",IF(CONFIGURAR!P83="","",CONFIGURAR!P83))),IF(CONFIGURAR!$T83="","",IF(CONFIGURAR!W83="","",CONFIGURAR!W83)))</f>
        <v/>
      </c>
    </row>
    <row r="90" spans="1:15" ht="18.75" customHeight="1" x14ac:dyDescent="0.2">
      <c r="A90" s="159" t="s">
        <v>94</v>
      </c>
      <c r="B90" s="83" t="s">
        <v>94</v>
      </c>
      <c r="C90" s="83" t="s">
        <v>94</v>
      </c>
      <c r="D90" s="83" t="s">
        <v>94</v>
      </c>
      <c r="J90" s="179"/>
      <c r="K90" s="180"/>
      <c r="L90" s="291" t="str">
        <f>IF(CONFIGURAR!$L$3=1,IF(CONFIGURAR!$M84="","",IF(CONFIGURAR!$AH84=TRUE,"",CONFIGURAR!M84)),IF(CONFIGURAR!$T84="","",CONFIGURAR!T84))</f>
        <v/>
      </c>
      <c r="M90" s="292" t="str">
        <f>IF(CONFIGURAR!$L$3=1,IF(CONFIGURAR!$M84="","",IF(CONFIGURAR!$AH84=TRUE,"",IF(CONFIGURAR!N84="","",CONFIGURAR!N84))),IF(CONFIGURAR!$T84="","",IF(CONFIGURAR!U84="","",CONFIGURAR!U84)))</f>
        <v/>
      </c>
      <c r="N90" s="292" t="str">
        <f>IF(CONFIGURAR!$L$3=1,IF(CONFIGURAR!$M84="","",IF(CONFIGURAR!$AH84=TRUE,"",IF(CONFIGURAR!O84="","",CONFIGURAR!O84))),IF(CONFIGURAR!$T84="","",IF(CONFIGURAR!V84="","",CONFIGURAR!V84)))</f>
        <v/>
      </c>
      <c r="O90" s="292" t="str">
        <f>IF(CONFIGURAR!$L$3=1,IF(CONFIGURAR!$M84="","",IF(CONFIGURAR!$AH84=TRUE,"",IF(CONFIGURAR!P84="","",CONFIGURAR!P84))),IF(CONFIGURAR!$T84="","",IF(CONFIGURAR!W84="","",CONFIGURAR!W84)))</f>
        <v/>
      </c>
    </row>
    <row r="91" spans="1:15" ht="18.75" customHeight="1" x14ac:dyDescent="0.2">
      <c r="A91" s="159" t="s">
        <v>94</v>
      </c>
      <c r="B91" s="83" t="s">
        <v>94</v>
      </c>
      <c r="C91" s="83" t="s">
        <v>94</v>
      </c>
      <c r="D91" s="83" t="s">
        <v>94</v>
      </c>
      <c r="J91" s="179"/>
      <c r="K91" s="180"/>
      <c r="L91" s="291" t="str">
        <f>IF(CONFIGURAR!$L$3=1,IF(CONFIGURAR!$M85="","",IF(CONFIGURAR!$AH85=TRUE,"",CONFIGURAR!M85)),IF(CONFIGURAR!$T85="","",CONFIGURAR!T85))</f>
        <v/>
      </c>
      <c r="M91" s="292" t="str">
        <f>IF(CONFIGURAR!$L$3=1,IF(CONFIGURAR!$M85="","",IF(CONFIGURAR!$AH85=TRUE,"",IF(CONFIGURAR!N85="","",CONFIGURAR!N85))),IF(CONFIGURAR!$T85="","",IF(CONFIGURAR!U85="","",CONFIGURAR!U85)))</f>
        <v/>
      </c>
      <c r="N91" s="292" t="str">
        <f>IF(CONFIGURAR!$L$3=1,IF(CONFIGURAR!$M85="","",IF(CONFIGURAR!$AH85=TRUE,"",IF(CONFIGURAR!O85="","",CONFIGURAR!O85))),IF(CONFIGURAR!$T85="","",IF(CONFIGURAR!V85="","",CONFIGURAR!V85)))</f>
        <v/>
      </c>
      <c r="O91" s="292" t="str">
        <f>IF(CONFIGURAR!$L$3=1,IF(CONFIGURAR!$M85="","",IF(CONFIGURAR!$AH85=TRUE,"",IF(CONFIGURAR!P85="","",CONFIGURAR!P85))),IF(CONFIGURAR!$T85="","",IF(CONFIGURAR!W85="","",CONFIGURAR!W85)))</f>
        <v/>
      </c>
    </row>
    <row r="92" spans="1:15" ht="18.75" customHeight="1" x14ac:dyDescent="0.2">
      <c r="A92" s="159" t="s">
        <v>94</v>
      </c>
      <c r="B92" s="83" t="s">
        <v>94</v>
      </c>
      <c r="C92" s="83" t="s">
        <v>94</v>
      </c>
      <c r="D92" s="83" t="s">
        <v>94</v>
      </c>
      <c r="J92" s="179"/>
      <c r="K92" s="180"/>
      <c r="L92" s="291" t="str">
        <f>IF(CONFIGURAR!$L$3=1,IF(CONFIGURAR!$M86="","",IF(CONFIGURAR!$AH86=TRUE,"",CONFIGURAR!M86)),IF(CONFIGURAR!$T86="","",CONFIGURAR!T86))</f>
        <v/>
      </c>
      <c r="M92" s="292" t="str">
        <f>IF(CONFIGURAR!$L$3=1,IF(CONFIGURAR!$M86="","",IF(CONFIGURAR!$AH86=TRUE,"",IF(CONFIGURAR!N86="","",CONFIGURAR!N86))),IF(CONFIGURAR!$T86="","",IF(CONFIGURAR!U86="","",CONFIGURAR!U86)))</f>
        <v/>
      </c>
      <c r="N92" s="292" t="str">
        <f>IF(CONFIGURAR!$L$3=1,IF(CONFIGURAR!$M86="","",IF(CONFIGURAR!$AH86=TRUE,"",IF(CONFIGURAR!O86="","",CONFIGURAR!O86))),IF(CONFIGURAR!$T86="","",IF(CONFIGURAR!V86="","",CONFIGURAR!V86)))</f>
        <v/>
      </c>
      <c r="O92" s="292" t="str">
        <f>IF(CONFIGURAR!$L$3=1,IF(CONFIGURAR!$M86="","",IF(CONFIGURAR!$AH86=TRUE,"",IF(CONFIGURAR!P86="","",CONFIGURAR!P86))),IF(CONFIGURAR!$T86="","",IF(CONFIGURAR!W86="","",CONFIGURAR!W86)))</f>
        <v/>
      </c>
    </row>
    <row r="93" spans="1:15" ht="18.75" customHeight="1" x14ac:dyDescent="0.2">
      <c r="A93" s="159" t="s">
        <v>94</v>
      </c>
      <c r="B93" s="83" t="s">
        <v>94</v>
      </c>
      <c r="C93" s="83" t="s">
        <v>94</v>
      </c>
      <c r="D93" s="83" t="s">
        <v>94</v>
      </c>
      <c r="J93" s="179"/>
      <c r="K93" s="180"/>
      <c r="L93" s="291" t="str">
        <f>IF(CONFIGURAR!$L$3=1,IF(CONFIGURAR!$M87="","",IF(CONFIGURAR!$AH87=TRUE,"",CONFIGURAR!M87)),IF(CONFIGURAR!$T87="","",CONFIGURAR!T87))</f>
        <v/>
      </c>
      <c r="M93" s="292" t="str">
        <f>IF(CONFIGURAR!$L$3=1,IF(CONFIGURAR!$M87="","",IF(CONFIGURAR!$AH87=TRUE,"",IF(CONFIGURAR!N87="","",CONFIGURAR!N87))),IF(CONFIGURAR!$T87="","",IF(CONFIGURAR!U87="","",CONFIGURAR!U87)))</f>
        <v/>
      </c>
      <c r="N93" s="292" t="str">
        <f>IF(CONFIGURAR!$L$3=1,IF(CONFIGURAR!$M87="","",IF(CONFIGURAR!$AH87=TRUE,"",IF(CONFIGURAR!O87="","",CONFIGURAR!O87))),IF(CONFIGURAR!$T87="","",IF(CONFIGURAR!V87="","",CONFIGURAR!V87)))</f>
        <v/>
      </c>
      <c r="O93" s="292" t="str">
        <f>IF(CONFIGURAR!$L$3=1,IF(CONFIGURAR!$M87="","",IF(CONFIGURAR!$AH87=TRUE,"",IF(CONFIGURAR!P87="","",CONFIGURAR!P87))),IF(CONFIGURAR!$T87="","",IF(CONFIGURAR!W87="","",CONFIGURAR!W87)))</f>
        <v/>
      </c>
    </row>
    <row r="94" spans="1:15" ht="18.75" customHeight="1" x14ac:dyDescent="0.2">
      <c r="A94" s="159" t="s">
        <v>94</v>
      </c>
      <c r="B94" s="83" t="s">
        <v>94</v>
      </c>
      <c r="C94" s="83" t="s">
        <v>94</v>
      </c>
      <c r="D94" s="83" t="s">
        <v>94</v>
      </c>
      <c r="J94" s="179"/>
      <c r="K94" s="180"/>
      <c r="L94" s="291" t="str">
        <f>IF(CONFIGURAR!$L$3=1,IF(CONFIGURAR!$M88="","",IF(CONFIGURAR!$AH88=TRUE,"",CONFIGURAR!M88)),IF(CONFIGURAR!$T88="","",CONFIGURAR!T88))</f>
        <v/>
      </c>
      <c r="M94" s="292" t="str">
        <f>IF(CONFIGURAR!$L$3=1,IF(CONFIGURAR!$M88="","",IF(CONFIGURAR!$AH88=TRUE,"",IF(CONFIGURAR!N88="","",CONFIGURAR!N88))),IF(CONFIGURAR!$T88="","",IF(CONFIGURAR!U88="","",CONFIGURAR!U88)))</f>
        <v/>
      </c>
      <c r="N94" s="292" t="str">
        <f>IF(CONFIGURAR!$L$3=1,IF(CONFIGURAR!$M88="","",IF(CONFIGURAR!$AH88=TRUE,"",IF(CONFIGURAR!O88="","",CONFIGURAR!O88))),IF(CONFIGURAR!$T88="","",IF(CONFIGURAR!V88="","",CONFIGURAR!V88)))</f>
        <v/>
      </c>
      <c r="O94" s="292" t="str">
        <f>IF(CONFIGURAR!$L$3=1,IF(CONFIGURAR!$M88="","",IF(CONFIGURAR!$AH88=TRUE,"",IF(CONFIGURAR!P88="","",CONFIGURAR!P88))),IF(CONFIGURAR!$T88="","",IF(CONFIGURAR!W88="","",CONFIGURAR!W88)))</f>
        <v/>
      </c>
    </row>
    <row r="95" spans="1:15" ht="18.75" customHeight="1" x14ac:dyDescent="0.2">
      <c r="A95" s="159" t="s">
        <v>94</v>
      </c>
      <c r="B95" s="83" t="s">
        <v>94</v>
      </c>
      <c r="C95" s="83" t="s">
        <v>94</v>
      </c>
      <c r="D95" s="83" t="s">
        <v>94</v>
      </c>
      <c r="J95" s="179"/>
      <c r="K95" s="180"/>
      <c r="L95" s="291" t="str">
        <f>IF(CONFIGURAR!$L$3=1,IF(CONFIGURAR!$M89="","",IF(CONFIGURAR!$AH89=TRUE,"",CONFIGURAR!M89)),IF(CONFIGURAR!$T89="","",CONFIGURAR!T89))</f>
        <v/>
      </c>
      <c r="M95" s="292" t="str">
        <f>IF(CONFIGURAR!$L$3=1,IF(CONFIGURAR!$M89="","",IF(CONFIGURAR!$AH89=TRUE,"",IF(CONFIGURAR!N89="","",CONFIGURAR!N89))),IF(CONFIGURAR!$T89="","",IF(CONFIGURAR!U89="","",CONFIGURAR!U89)))</f>
        <v/>
      </c>
      <c r="N95" s="292" t="str">
        <f>IF(CONFIGURAR!$L$3=1,IF(CONFIGURAR!$M89="","",IF(CONFIGURAR!$AH89=TRUE,"",IF(CONFIGURAR!O89="","",CONFIGURAR!O89))),IF(CONFIGURAR!$T89="","",IF(CONFIGURAR!V89="","",CONFIGURAR!V89)))</f>
        <v/>
      </c>
      <c r="O95" s="292" t="str">
        <f>IF(CONFIGURAR!$L$3=1,IF(CONFIGURAR!$M89="","",IF(CONFIGURAR!$AH89=TRUE,"",IF(CONFIGURAR!P89="","",CONFIGURAR!P89))),IF(CONFIGURAR!$T89="","",IF(CONFIGURAR!W89="","",CONFIGURAR!W89)))</f>
        <v/>
      </c>
    </row>
    <row r="96" spans="1:15" ht="18.75" customHeight="1" x14ac:dyDescent="0.2">
      <c r="A96" s="159" t="s">
        <v>94</v>
      </c>
      <c r="B96" s="83" t="s">
        <v>94</v>
      </c>
      <c r="C96" s="83" t="s">
        <v>94</v>
      </c>
      <c r="D96" s="83" t="s">
        <v>94</v>
      </c>
      <c r="J96" s="179"/>
      <c r="K96" s="180"/>
      <c r="L96" s="291" t="str">
        <f>IF(CONFIGURAR!$L$3=1,IF(CONFIGURAR!$M90="","",IF(CONFIGURAR!$AH90=TRUE,"",CONFIGURAR!M90)),IF(CONFIGURAR!$T90="","",CONFIGURAR!T90))</f>
        <v/>
      </c>
      <c r="M96" s="292" t="str">
        <f>IF(CONFIGURAR!$L$3=1,IF(CONFIGURAR!$M90="","",IF(CONFIGURAR!$AH90=TRUE,"",IF(CONFIGURAR!N90="","",CONFIGURAR!N90))),IF(CONFIGURAR!$T90="","",IF(CONFIGURAR!U90="","",CONFIGURAR!U90)))</f>
        <v/>
      </c>
      <c r="N96" s="292" t="str">
        <f>IF(CONFIGURAR!$L$3=1,IF(CONFIGURAR!$M90="","",IF(CONFIGURAR!$AH90=TRUE,"",IF(CONFIGURAR!O90="","",CONFIGURAR!O90))),IF(CONFIGURAR!$T90="","",IF(CONFIGURAR!V90="","",CONFIGURAR!V90)))</f>
        <v/>
      </c>
      <c r="O96" s="292" t="str">
        <f>IF(CONFIGURAR!$L$3=1,IF(CONFIGURAR!$M90="","",IF(CONFIGURAR!$AH90=TRUE,"",IF(CONFIGURAR!P90="","",CONFIGURAR!P90))),IF(CONFIGURAR!$T90="","",IF(CONFIGURAR!W90="","",CONFIGURAR!W90)))</f>
        <v/>
      </c>
    </row>
    <row r="97" spans="1:15" ht="18.75" customHeight="1" x14ac:dyDescent="0.2">
      <c r="A97" s="159" t="s">
        <v>94</v>
      </c>
      <c r="B97" s="83" t="s">
        <v>94</v>
      </c>
      <c r="C97" s="83" t="s">
        <v>94</v>
      </c>
      <c r="D97" s="83" t="s">
        <v>94</v>
      </c>
      <c r="J97" s="179"/>
      <c r="K97" s="180"/>
      <c r="L97" s="291" t="str">
        <f>IF(CONFIGURAR!$L$3=1,IF(CONFIGURAR!$M91="","",IF(CONFIGURAR!$AH91=TRUE,"",CONFIGURAR!M91)),IF(CONFIGURAR!$T91="","",CONFIGURAR!T91))</f>
        <v/>
      </c>
      <c r="M97" s="292" t="str">
        <f>IF(CONFIGURAR!$L$3=1,IF(CONFIGURAR!$M91="","",IF(CONFIGURAR!$AH91=TRUE,"",IF(CONFIGURAR!N91="","",CONFIGURAR!N91))),IF(CONFIGURAR!$T91="","",IF(CONFIGURAR!U91="","",CONFIGURAR!U91)))</f>
        <v/>
      </c>
      <c r="N97" s="292" t="str">
        <f>IF(CONFIGURAR!$L$3=1,IF(CONFIGURAR!$M91="","",IF(CONFIGURAR!$AH91=TRUE,"",IF(CONFIGURAR!O91="","",CONFIGURAR!O91))),IF(CONFIGURAR!$T91="","",IF(CONFIGURAR!V91="","",CONFIGURAR!V91)))</f>
        <v/>
      </c>
      <c r="O97" s="292" t="str">
        <f>IF(CONFIGURAR!$L$3=1,IF(CONFIGURAR!$M91="","",IF(CONFIGURAR!$AH91=TRUE,"",IF(CONFIGURAR!P91="","",CONFIGURAR!P91))),IF(CONFIGURAR!$T91="","",IF(CONFIGURAR!W91="","",CONFIGURAR!W91)))</f>
        <v/>
      </c>
    </row>
    <row r="98" spans="1:15" ht="18.75" customHeight="1" x14ac:dyDescent="0.2">
      <c r="A98" s="159" t="s">
        <v>94</v>
      </c>
      <c r="B98" s="83" t="s">
        <v>94</v>
      </c>
      <c r="C98" s="83" t="s">
        <v>94</v>
      </c>
      <c r="D98" s="83" t="s">
        <v>94</v>
      </c>
      <c r="J98" s="179"/>
      <c r="K98" s="180"/>
      <c r="L98" s="291" t="str">
        <f>IF(CONFIGURAR!$L$3=1,IF(CONFIGURAR!$M92="","",IF(CONFIGURAR!$AH92=TRUE,"",CONFIGURAR!M92)),IF(CONFIGURAR!$T92="","",CONFIGURAR!T92))</f>
        <v/>
      </c>
      <c r="M98" s="292" t="str">
        <f>IF(CONFIGURAR!$L$3=1,IF(CONFIGURAR!$M92="","",IF(CONFIGURAR!$AH92=TRUE,"",IF(CONFIGURAR!N92="","",CONFIGURAR!N92))),IF(CONFIGURAR!$T92="","",IF(CONFIGURAR!U92="","",CONFIGURAR!U92)))</f>
        <v/>
      </c>
      <c r="N98" s="292" t="str">
        <f>IF(CONFIGURAR!$L$3=1,IF(CONFIGURAR!$M92="","",IF(CONFIGURAR!$AH92=TRUE,"",IF(CONFIGURAR!O92="","",CONFIGURAR!O92))),IF(CONFIGURAR!$T92="","",IF(CONFIGURAR!V92="","",CONFIGURAR!V92)))</f>
        <v/>
      </c>
      <c r="O98" s="292" t="str">
        <f>IF(CONFIGURAR!$L$3=1,IF(CONFIGURAR!$M92="","",IF(CONFIGURAR!$AH92=TRUE,"",IF(CONFIGURAR!P92="","",CONFIGURAR!P92))),IF(CONFIGURAR!$T92="","",IF(CONFIGURAR!W92="","",CONFIGURAR!W92)))</f>
        <v/>
      </c>
    </row>
    <row r="99" spans="1:15" ht="18.75" customHeight="1" x14ac:dyDescent="0.2">
      <c r="A99" s="159" t="s">
        <v>94</v>
      </c>
      <c r="B99" s="83" t="s">
        <v>94</v>
      </c>
      <c r="C99" s="83" t="s">
        <v>94</v>
      </c>
      <c r="D99" s="83" t="s">
        <v>94</v>
      </c>
      <c r="J99" s="179"/>
      <c r="K99" s="180"/>
      <c r="L99" s="291" t="str">
        <f>IF(CONFIGURAR!$L$3=1,IF(CONFIGURAR!$M93="","",IF(CONFIGURAR!$AH93=TRUE,"",CONFIGURAR!M93)),IF(CONFIGURAR!$T93="","",CONFIGURAR!T93))</f>
        <v/>
      </c>
      <c r="M99" s="292" t="str">
        <f>IF(CONFIGURAR!$L$3=1,IF(CONFIGURAR!$M93="","",IF(CONFIGURAR!$AH93=TRUE,"",IF(CONFIGURAR!N93="","",CONFIGURAR!N93))),IF(CONFIGURAR!$T93="","",IF(CONFIGURAR!U93="","",CONFIGURAR!U93)))</f>
        <v/>
      </c>
      <c r="N99" s="292" t="str">
        <f>IF(CONFIGURAR!$L$3=1,IF(CONFIGURAR!$M93="","",IF(CONFIGURAR!$AH93=TRUE,"",IF(CONFIGURAR!O93="","",CONFIGURAR!O93))),IF(CONFIGURAR!$T93="","",IF(CONFIGURAR!V93="","",CONFIGURAR!V93)))</f>
        <v/>
      </c>
      <c r="O99" s="292" t="str">
        <f>IF(CONFIGURAR!$L$3=1,IF(CONFIGURAR!$M93="","",IF(CONFIGURAR!$AH93=TRUE,"",IF(CONFIGURAR!P93="","",CONFIGURAR!P93))),IF(CONFIGURAR!$T93="","",IF(CONFIGURAR!W93="","",CONFIGURAR!W93)))</f>
        <v/>
      </c>
    </row>
    <row r="100" spans="1:15" ht="18.75" customHeight="1" x14ac:dyDescent="0.2">
      <c r="A100" s="159" t="s">
        <v>94</v>
      </c>
      <c r="B100" s="83" t="s">
        <v>94</v>
      </c>
      <c r="C100" s="83" t="s">
        <v>94</v>
      </c>
      <c r="D100" s="83" t="s">
        <v>94</v>
      </c>
      <c r="J100" s="179"/>
      <c r="K100" s="180"/>
      <c r="L100" s="291" t="str">
        <f>IF(CONFIGURAR!$L$3=1,IF(CONFIGURAR!$M94="","",IF(CONFIGURAR!$AH94=TRUE,"",CONFIGURAR!M94)),IF(CONFIGURAR!$T94="","",CONFIGURAR!T94))</f>
        <v/>
      </c>
      <c r="M100" s="292" t="str">
        <f>IF(CONFIGURAR!$L$3=1,IF(CONFIGURAR!$M94="","",IF(CONFIGURAR!$AH94=TRUE,"",IF(CONFIGURAR!N94="","",CONFIGURAR!N94))),IF(CONFIGURAR!$T94="","",IF(CONFIGURAR!U94="","",CONFIGURAR!U94)))</f>
        <v/>
      </c>
      <c r="N100" s="292" t="str">
        <f>IF(CONFIGURAR!$L$3=1,IF(CONFIGURAR!$M94="","",IF(CONFIGURAR!$AH94=TRUE,"",IF(CONFIGURAR!O94="","",CONFIGURAR!O94))),IF(CONFIGURAR!$T94="","",IF(CONFIGURAR!V94="","",CONFIGURAR!V94)))</f>
        <v/>
      </c>
      <c r="O100" s="292" t="str">
        <f>IF(CONFIGURAR!$L$3=1,IF(CONFIGURAR!$M94="","",IF(CONFIGURAR!$AH94=TRUE,"",IF(CONFIGURAR!P94="","",CONFIGURAR!P94))),IF(CONFIGURAR!$T94="","",IF(CONFIGURAR!W94="","",CONFIGURAR!W94)))</f>
        <v/>
      </c>
    </row>
    <row r="101" spans="1:15" ht="18.75" customHeight="1" x14ac:dyDescent="0.2">
      <c r="A101" s="159" t="s">
        <v>94</v>
      </c>
      <c r="B101" s="83" t="s">
        <v>94</v>
      </c>
      <c r="C101" s="83" t="s">
        <v>94</v>
      </c>
      <c r="D101" s="83" t="s">
        <v>94</v>
      </c>
      <c r="J101" s="179"/>
      <c r="K101" s="180"/>
      <c r="L101" s="291" t="str">
        <f>IF(CONFIGURAR!$L$3=1,IF(CONFIGURAR!$M95="","",IF(CONFIGURAR!$AH95=TRUE,"",CONFIGURAR!M95)),IF(CONFIGURAR!$T95="","",CONFIGURAR!T95))</f>
        <v/>
      </c>
      <c r="M101" s="292" t="str">
        <f>IF(CONFIGURAR!$L$3=1,IF(CONFIGURAR!$M95="","",IF(CONFIGURAR!$AH95=TRUE,"",IF(CONFIGURAR!N95="","",CONFIGURAR!N95))),IF(CONFIGURAR!$T95="","",IF(CONFIGURAR!U95="","",CONFIGURAR!U95)))</f>
        <v/>
      </c>
      <c r="N101" s="292" t="str">
        <f>IF(CONFIGURAR!$L$3=1,IF(CONFIGURAR!$M95="","",IF(CONFIGURAR!$AH95=TRUE,"",IF(CONFIGURAR!O95="","",CONFIGURAR!O95))),IF(CONFIGURAR!$T95="","",IF(CONFIGURAR!V95="","",CONFIGURAR!V95)))</f>
        <v/>
      </c>
      <c r="O101" s="292" t="str">
        <f>IF(CONFIGURAR!$L$3=1,IF(CONFIGURAR!$M95="","",IF(CONFIGURAR!$AH95=TRUE,"",IF(CONFIGURAR!P95="","",CONFIGURAR!P95))),IF(CONFIGURAR!$T95="","",IF(CONFIGURAR!W95="","",CONFIGURAR!W95)))</f>
        <v/>
      </c>
    </row>
    <row r="102" spans="1:15" ht="18.75" customHeight="1" x14ac:dyDescent="0.2">
      <c r="A102" s="159" t="s">
        <v>94</v>
      </c>
      <c r="B102" s="83" t="s">
        <v>94</v>
      </c>
      <c r="C102" s="83" t="s">
        <v>94</v>
      </c>
      <c r="D102" s="83" t="s">
        <v>94</v>
      </c>
      <c r="J102" s="179"/>
      <c r="K102" s="180"/>
      <c r="L102" s="291" t="str">
        <f>IF(CONFIGURAR!$L$3=1,IF(CONFIGURAR!$M96="","",IF(CONFIGURAR!$AH96=TRUE,"",CONFIGURAR!M96)),IF(CONFIGURAR!$T96="","",CONFIGURAR!T96))</f>
        <v/>
      </c>
      <c r="M102" s="292" t="str">
        <f>IF(CONFIGURAR!$L$3=1,IF(CONFIGURAR!$M96="","",IF(CONFIGURAR!$AH96=TRUE,"",IF(CONFIGURAR!N96="","",CONFIGURAR!N96))),IF(CONFIGURAR!$T96="","",IF(CONFIGURAR!U96="","",CONFIGURAR!U96)))</f>
        <v/>
      </c>
      <c r="N102" s="292" t="str">
        <f>IF(CONFIGURAR!$L$3=1,IF(CONFIGURAR!$M96="","",IF(CONFIGURAR!$AH96=TRUE,"",IF(CONFIGURAR!O96="","",CONFIGURAR!O96))),IF(CONFIGURAR!$T96="","",IF(CONFIGURAR!V96="","",CONFIGURAR!V96)))</f>
        <v/>
      </c>
      <c r="O102" s="292" t="str">
        <f>IF(CONFIGURAR!$L$3=1,IF(CONFIGURAR!$M96="","",IF(CONFIGURAR!$AH96=TRUE,"",IF(CONFIGURAR!P96="","",CONFIGURAR!P96))),IF(CONFIGURAR!$T96="","",IF(CONFIGURAR!W96="","",CONFIGURAR!W96)))</f>
        <v/>
      </c>
    </row>
    <row r="103" spans="1:15" ht="18.75" customHeight="1" x14ac:dyDescent="0.2">
      <c r="A103" s="159" t="s">
        <v>94</v>
      </c>
      <c r="B103" s="83" t="s">
        <v>94</v>
      </c>
      <c r="C103" s="83" t="s">
        <v>94</v>
      </c>
      <c r="D103" s="83" t="s">
        <v>94</v>
      </c>
      <c r="J103" s="179"/>
      <c r="K103" s="180"/>
      <c r="L103" s="291" t="str">
        <f>IF(CONFIGURAR!$L$3=1,IF(CONFIGURAR!$M97="","",IF(CONFIGURAR!$AH97=TRUE,"",CONFIGURAR!M97)),IF(CONFIGURAR!$T97="","",CONFIGURAR!T97))</f>
        <v/>
      </c>
      <c r="M103" s="292" t="str">
        <f>IF(CONFIGURAR!$L$3=1,IF(CONFIGURAR!$M97="","",IF(CONFIGURAR!$AH97=TRUE,"",IF(CONFIGURAR!N97="","",CONFIGURAR!N97))),IF(CONFIGURAR!$T97="","",IF(CONFIGURAR!U97="","",CONFIGURAR!U97)))</f>
        <v/>
      </c>
      <c r="N103" s="292" t="str">
        <f>IF(CONFIGURAR!$L$3=1,IF(CONFIGURAR!$M97="","",IF(CONFIGURAR!$AH97=TRUE,"",IF(CONFIGURAR!O97="","",CONFIGURAR!O97))),IF(CONFIGURAR!$T97="","",IF(CONFIGURAR!V97="","",CONFIGURAR!V97)))</f>
        <v/>
      </c>
      <c r="O103" s="292" t="str">
        <f>IF(CONFIGURAR!$L$3=1,IF(CONFIGURAR!$M97="","",IF(CONFIGURAR!$AH97=TRUE,"",IF(CONFIGURAR!P97="","",CONFIGURAR!P97))),IF(CONFIGURAR!$T97="","",IF(CONFIGURAR!W97="","",CONFIGURAR!W97)))</f>
        <v/>
      </c>
    </row>
    <row r="104" spans="1:15" ht="18.75" customHeight="1" x14ac:dyDescent="0.2">
      <c r="A104" s="159" t="s">
        <v>94</v>
      </c>
      <c r="B104" s="83" t="s">
        <v>94</v>
      </c>
      <c r="C104" s="83" t="s">
        <v>94</v>
      </c>
      <c r="D104" s="83" t="s">
        <v>94</v>
      </c>
      <c r="J104" s="179"/>
      <c r="K104" s="180"/>
      <c r="L104" s="291" t="str">
        <f>IF(CONFIGURAR!$L$3=1,IF(CONFIGURAR!$M98="","",IF(CONFIGURAR!$AH98=TRUE,"",CONFIGURAR!M98)),IF(CONFIGURAR!$T98="","",CONFIGURAR!T98))</f>
        <v/>
      </c>
      <c r="M104" s="292" t="str">
        <f>IF(CONFIGURAR!$L$3=1,IF(CONFIGURAR!$M98="","",IF(CONFIGURAR!$AH98=TRUE,"",IF(CONFIGURAR!N98="","",CONFIGURAR!N98))),IF(CONFIGURAR!$T98="","",IF(CONFIGURAR!U98="","",CONFIGURAR!U98)))</f>
        <v/>
      </c>
      <c r="N104" s="292" t="str">
        <f>IF(CONFIGURAR!$L$3=1,IF(CONFIGURAR!$M98="","",IF(CONFIGURAR!$AH98=TRUE,"",IF(CONFIGURAR!O98="","",CONFIGURAR!O98))),IF(CONFIGURAR!$T98="","",IF(CONFIGURAR!V98="","",CONFIGURAR!V98)))</f>
        <v/>
      </c>
      <c r="O104" s="292" t="str">
        <f>IF(CONFIGURAR!$L$3=1,IF(CONFIGURAR!$M98="","",IF(CONFIGURAR!$AH98=TRUE,"",IF(CONFIGURAR!P98="","",CONFIGURAR!P98))),IF(CONFIGURAR!$T98="","",IF(CONFIGURAR!W98="","",CONFIGURAR!W98)))</f>
        <v/>
      </c>
    </row>
    <row r="105" spans="1:15" ht="18.75" customHeight="1" x14ac:dyDescent="0.2">
      <c r="A105" s="159" t="s">
        <v>94</v>
      </c>
      <c r="B105" s="83" t="s">
        <v>94</v>
      </c>
      <c r="C105" s="83" t="s">
        <v>94</v>
      </c>
      <c r="D105" s="83" t="s">
        <v>94</v>
      </c>
      <c r="J105" s="179"/>
      <c r="K105" s="180"/>
      <c r="L105" s="291" t="str">
        <f>IF(CONFIGURAR!$L$3=1,IF(CONFIGURAR!$M99="","",IF(CONFIGURAR!$AH99=TRUE,"",CONFIGURAR!M99)),IF(CONFIGURAR!$T99="","",CONFIGURAR!T99))</f>
        <v/>
      </c>
      <c r="M105" s="292" t="str">
        <f>IF(CONFIGURAR!$L$3=1,IF(CONFIGURAR!$M99="","",IF(CONFIGURAR!$AH99=TRUE,"",IF(CONFIGURAR!N99="","",CONFIGURAR!N99))),IF(CONFIGURAR!$T99="","",IF(CONFIGURAR!U99="","",CONFIGURAR!U99)))</f>
        <v/>
      </c>
      <c r="N105" s="292" t="str">
        <f>IF(CONFIGURAR!$L$3=1,IF(CONFIGURAR!$M99="","",IF(CONFIGURAR!$AH99=TRUE,"",IF(CONFIGURAR!O99="","",CONFIGURAR!O99))),IF(CONFIGURAR!$T99="","",IF(CONFIGURAR!V99="","",CONFIGURAR!V99)))</f>
        <v/>
      </c>
      <c r="O105" s="292" t="str">
        <f>IF(CONFIGURAR!$L$3=1,IF(CONFIGURAR!$M99="","",IF(CONFIGURAR!$AH99=TRUE,"",IF(CONFIGURAR!P99="","",CONFIGURAR!P99))),IF(CONFIGURAR!$T99="","",IF(CONFIGURAR!W99="","",CONFIGURAR!W99)))</f>
        <v/>
      </c>
    </row>
    <row r="106" spans="1:15" ht="18.75" customHeight="1" x14ac:dyDescent="0.2">
      <c r="A106" s="159" t="s">
        <v>94</v>
      </c>
      <c r="B106" s="83" t="s">
        <v>94</v>
      </c>
      <c r="C106" s="83" t="s">
        <v>94</v>
      </c>
      <c r="D106" s="83" t="s">
        <v>94</v>
      </c>
      <c r="J106" s="179"/>
      <c r="K106" s="180"/>
      <c r="L106" s="291" t="str">
        <f>IF(CONFIGURAR!$L$3=1,IF(CONFIGURAR!$M100="","",IF(CONFIGURAR!$AH100=TRUE,"",CONFIGURAR!M100)),IF(CONFIGURAR!$T100="","",CONFIGURAR!T100))</f>
        <v/>
      </c>
      <c r="M106" s="292" t="str">
        <f>IF(CONFIGURAR!$L$3=1,IF(CONFIGURAR!$M100="","",IF(CONFIGURAR!$AH100=TRUE,"",IF(CONFIGURAR!N100="","",CONFIGURAR!N100))),IF(CONFIGURAR!$T100="","",IF(CONFIGURAR!U100="","",CONFIGURAR!U100)))</f>
        <v/>
      </c>
      <c r="N106" s="292" t="str">
        <f>IF(CONFIGURAR!$L$3=1,IF(CONFIGURAR!$M100="","",IF(CONFIGURAR!$AH100=TRUE,"",IF(CONFIGURAR!O100="","",CONFIGURAR!O100))),IF(CONFIGURAR!$T100="","",IF(CONFIGURAR!V100="","",CONFIGURAR!V100)))</f>
        <v/>
      </c>
      <c r="O106" s="292" t="str">
        <f>IF(CONFIGURAR!$L$3=1,IF(CONFIGURAR!$M100="","",IF(CONFIGURAR!$AH100=TRUE,"",IF(CONFIGURAR!P100="","",CONFIGURAR!P100))),IF(CONFIGURAR!$T100="","",IF(CONFIGURAR!W100="","",CONFIGURAR!W100)))</f>
        <v/>
      </c>
    </row>
    <row r="107" spans="1:15" ht="18.75" customHeight="1" x14ac:dyDescent="0.2">
      <c r="A107" s="159" t="s">
        <v>94</v>
      </c>
      <c r="B107" s="83" t="s">
        <v>94</v>
      </c>
      <c r="C107" s="83" t="s">
        <v>94</v>
      </c>
      <c r="D107" s="83" t="s">
        <v>94</v>
      </c>
      <c r="J107" s="179"/>
      <c r="K107" s="180"/>
      <c r="L107" s="291" t="str">
        <f>IF(CONFIGURAR!$L$3=1,IF(CONFIGURAR!$M101="","",IF(CONFIGURAR!$AH101=TRUE,"",CONFIGURAR!M101)),IF(CONFIGURAR!$T101="","",CONFIGURAR!T101))</f>
        <v/>
      </c>
      <c r="M107" s="292" t="str">
        <f>IF(CONFIGURAR!$L$3=1,IF(CONFIGURAR!$M101="","",IF(CONFIGURAR!$AH101=TRUE,"",IF(CONFIGURAR!N101="","",CONFIGURAR!N101))),IF(CONFIGURAR!$T101="","",IF(CONFIGURAR!U101="","",CONFIGURAR!U101)))</f>
        <v/>
      </c>
      <c r="N107" s="292" t="str">
        <f>IF(CONFIGURAR!$L$3=1,IF(CONFIGURAR!$M101="","",IF(CONFIGURAR!$AH101=TRUE,"",IF(CONFIGURAR!O101="","",CONFIGURAR!O101))),IF(CONFIGURAR!$T101="","",IF(CONFIGURAR!V101="","",CONFIGURAR!V101)))</f>
        <v/>
      </c>
      <c r="O107" s="292" t="str">
        <f>IF(CONFIGURAR!$L$3=1,IF(CONFIGURAR!$M101="","",IF(CONFIGURAR!$AH101=TRUE,"",IF(CONFIGURAR!P101="","",CONFIGURAR!P101))),IF(CONFIGURAR!$T101="","",IF(CONFIGURAR!W101="","",CONFIGURAR!W101)))</f>
        <v/>
      </c>
    </row>
    <row r="108" spans="1:15" ht="18.75" customHeight="1" x14ac:dyDescent="0.2">
      <c r="A108" s="159" t="s">
        <v>94</v>
      </c>
      <c r="B108" s="83" t="s">
        <v>94</v>
      </c>
      <c r="C108" s="83" t="s">
        <v>94</v>
      </c>
      <c r="D108" s="83" t="s">
        <v>94</v>
      </c>
      <c r="J108" s="179"/>
      <c r="K108" s="180"/>
      <c r="L108" s="291" t="str">
        <f>IF(CONFIGURAR!$L$3=1,IF(CONFIGURAR!$M102="","",IF(CONFIGURAR!$AH102=TRUE,"",CONFIGURAR!M102)),IF(CONFIGURAR!$T102="","",CONFIGURAR!T102))</f>
        <v/>
      </c>
      <c r="M108" s="292" t="str">
        <f>IF(CONFIGURAR!$L$3=1,IF(CONFIGURAR!$M102="","",IF(CONFIGURAR!$AH102=TRUE,"",IF(CONFIGURAR!N102="","",CONFIGURAR!N102))),IF(CONFIGURAR!$T102="","",IF(CONFIGURAR!U102="","",CONFIGURAR!U102)))</f>
        <v/>
      </c>
      <c r="N108" s="292" t="str">
        <f>IF(CONFIGURAR!$L$3=1,IF(CONFIGURAR!$M102="","",IF(CONFIGURAR!$AH102=TRUE,"",IF(CONFIGURAR!O102="","",CONFIGURAR!O102))),IF(CONFIGURAR!$T102="","",IF(CONFIGURAR!V102="","",CONFIGURAR!V102)))</f>
        <v/>
      </c>
      <c r="O108" s="292" t="str">
        <f>IF(CONFIGURAR!$L$3=1,IF(CONFIGURAR!$M102="","",IF(CONFIGURAR!$AH102=TRUE,"",IF(CONFIGURAR!P102="","",CONFIGURAR!P102))),IF(CONFIGURAR!$T102="","",IF(CONFIGURAR!W102="","",CONFIGURAR!W102)))</f>
        <v/>
      </c>
    </row>
    <row r="109" spans="1:15" ht="18.75" customHeight="1" x14ac:dyDescent="0.2">
      <c r="A109" s="159" t="s">
        <v>94</v>
      </c>
      <c r="B109" s="83" t="s">
        <v>94</v>
      </c>
      <c r="C109" s="83" t="s">
        <v>94</v>
      </c>
      <c r="D109" s="83" t="s">
        <v>94</v>
      </c>
      <c r="J109" s="179"/>
      <c r="K109" s="180"/>
      <c r="L109" s="291" t="str">
        <f>IF(CONFIGURAR!$L$3=1,IF(CONFIGURAR!$M103="","",IF(CONFIGURAR!$AH103=TRUE,"",CONFIGURAR!M103)),IF(CONFIGURAR!$T103="","",CONFIGURAR!T103))</f>
        <v/>
      </c>
      <c r="M109" s="292" t="str">
        <f>IF(CONFIGURAR!$L$3=1,IF(CONFIGURAR!$M103="","",IF(CONFIGURAR!$AH103=TRUE,"",IF(CONFIGURAR!N103="","",CONFIGURAR!N103))),IF(CONFIGURAR!$T103="","",IF(CONFIGURAR!U103="","",CONFIGURAR!U103)))</f>
        <v/>
      </c>
      <c r="N109" s="292" t="str">
        <f>IF(CONFIGURAR!$L$3=1,IF(CONFIGURAR!$M103="","",IF(CONFIGURAR!$AH103=TRUE,"",IF(CONFIGURAR!O103="","",CONFIGURAR!O103))),IF(CONFIGURAR!$T103="","",IF(CONFIGURAR!V103="","",CONFIGURAR!V103)))</f>
        <v/>
      </c>
      <c r="O109" s="292" t="str">
        <f>IF(CONFIGURAR!$L$3=1,IF(CONFIGURAR!$M103="","",IF(CONFIGURAR!$AH103=TRUE,"",IF(CONFIGURAR!P103="","",CONFIGURAR!P103))),IF(CONFIGURAR!$T103="","",IF(CONFIGURAR!W103="","",CONFIGURAR!W103)))</f>
        <v/>
      </c>
    </row>
    <row r="110" spans="1:15" ht="18.75" customHeight="1" x14ac:dyDescent="0.2">
      <c r="A110" s="159" t="s">
        <v>94</v>
      </c>
      <c r="B110" s="83" t="s">
        <v>94</v>
      </c>
      <c r="C110" s="83" t="s">
        <v>94</v>
      </c>
      <c r="D110" s="83" t="s">
        <v>94</v>
      </c>
      <c r="J110" s="179"/>
      <c r="K110" s="180"/>
      <c r="L110" s="291" t="str">
        <f>IF(CONFIGURAR!$L$3=1,IF(CONFIGURAR!$M104="","",IF(CONFIGURAR!$AH104=TRUE,"",CONFIGURAR!M104)),IF(CONFIGURAR!$T104="","",CONFIGURAR!T104))</f>
        <v/>
      </c>
      <c r="M110" s="292" t="str">
        <f>IF(CONFIGURAR!$L$3=1,IF(CONFIGURAR!$M104="","",IF(CONFIGURAR!$AH104=TRUE,"",IF(CONFIGURAR!N104="","",CONFIGURAR!N104))),IF(CONFIGURAR!$T104="","",IF(CONFIGURAR!U104="","",CONFIGURAR!U104)))</f>
        <v/>
      </c>
      <c r="N110" s="292" t="str">
        <f>IF(CONFIGURAR!$L$3=1,IF(CONFIGURAR!$M104="","",IF(CONFIGURAR!$AH104=TRUE,"",IF(CONFIGURAR!O104="","",CONFIGURAR!O104))),IF(CONFIGURAR!$T104="","",IF(CONFIGURAR!V104="","",CONFIGURAR!V104)))</f>
        <v/>
      </c>
      <c r="O110" s="292" t="str">
        <f>IF(CONFIGURAR!$L$3=1,IF(CONFIGURAR!$M104="","",IF(CONFIGURAR!$AH104=TRUE,"",IF(CONFIGURAR!P104="","",CONFIGURAR!P104))),IF(CONFIGURAR!$T104="","",IF(CONFIGURAR!W104="","",CONFIGURAR!W104)))</f>
        <v/>
      </c>
    </row>
    <row r="111" spans="1:15" ht="18.75" customHeight="1" x14ac:dyDescent="0.2">
      <c r="A111" s="159" t="s">
        <v>94</v>
      </c>
      <c r="B111" s="83" t="s">
        <v>94</v>
      </c>
      <c r="C111" s="83" t="s">
        <v>94</v>
      </c>
      <c r="D111" s="83" t="s">
        <v>94</v>
      </c>
      <c r="J111" s="179"/>
      <c r="K111" s="180"/>
      <c r="L111" s="291" t="str">
        <f>IF(CONFIGURAR!$L$3=1,IF(CONFIGURAR!$M105="","",IF(CONFIGURAR!$AH105=TRUE,"",CONFIGURAR!M105)),IF(CONFIGURAR!$T105="","",CONFIGURAR!T105))</f>
        <v/>
      </c>
      <c r="M111" s="292" t="str">
        <f>IF(CONFIGURAR!$L$3=1,IF(CONFIGURAR!$M105="","",IF(CONFIGURAR!$AH105=TRUE,"",IF(CONFIGURAR!N105="","",CONFIGURAR!N105))),IF(CONFIGURAR!$T105="","",IF(CONFIGURAR!U105="","",CONFIGURAR!U105)))</f>
        <v/>
      </c>
      <c r="N111" s="292" t="str">
        <f>IF(CONFIGURAR!$L$3=1,IF(CONFIGURAR!$M105="","",IF(CONFIGURAR!$AH105=TRUE,"",IF(CONFIGURAR!O105="","",CONFIGURAR!O105))),IF(CONFIGURAR!$T105="","",IF(CONFIGURAR!V105="","",CONFIGURAR!V105)))</f>
        <v/>
      </c>
      <c r="O111" s="292" t="str">
        <f>IF(CONFIGURAR!$L$3=1,IF(CONFIGURAR!$M105="","",IF(CONFIGURAR!$AH105=TRUE,"",IF(CONFIGURAR!P105="","",CONFIGURAR!P105))),IF(CONFIGURAR!$T105="","",IF(CONFIGURAR!W105="","",CONFIGURAR!W105)))</f>
        <v/>
      </c>
    </row>
    <row r="112" spans="1:15" ht="18.75" customHeight="1" x14ac:dyDescent="0.2">
      <c r="A112" s="159" t="s">
        <v>94</v>
      </c>
      <c r="B112" s="83" t="s">
        <v>94</v>
      </c>
      <c r="C112" s="83" t="s">
        <v>94</v>
      </c>
      <c r="D112" s="83" t="s">
        <v>94</v>
      </c>
      <c r="J112" s="179"/>
      <c r="K112" s="180"/>
      <c r="L112" s="291" t="str">
        <f>IF(CONFIGURAR!$L$3=1,IF(CONFIGURAR!$M106="","",IF(CONFIGURAR!$AH106=TRUE,"",CONFIGURAR!M106)),IF(CONFIGURAR!$T106="","",CONFIGURAR!T106))</f>
        <v/>
      </c>
      <c r="M112" s="292" t="str">
        <f>IF(CONFIGURAR!$L$3=1,IF(CONFIGURAR!$M106="","",IF(CONFIGURAR!$AH106=TRUE,"",IF(CONFIGURAR!N106="","",CONFIGURAR!N106))),IF(CONFIGURAR!$T106="","",IF(CONFIGURAR!U106="","",CONFIGURAR!U106)))</f>
        <v/>
      </c>
      <c r="N112" s="292" t="str">
        <f>IF(CONFIGURAR!$L$3=1,IF(CONFIGURAR!$M106="","",IF(CONFIGURAR!$AH106=TRUE,"",IF(CONFIGURAR!O106="","",CONFIGURAR!O106))),IF(CONFIGURAR!$T106="","",IF(CONFIGURAR!V106="","",CONFIGURAR!V106)))</f>
        <v/>
      </c>
      <c r="O112" s="292" t="str">
        <f>IF(CONFIGURAR!$L$3=1,IF(CONFIGURAR!$M106="","",IF(CONFIGURAR!$AH106=TRUE,"",IF(CONFIGURAR!P106="","",CONFIGURAR!P106))),IF(CONFIGURAR!$T106="","",IF(CONFIGURAR!W106="","",CONFIGURAR!W106)))</f>
        <v/>
      </c>
    </row>
    <row r="113" spans="1:15" ht="18.75" customHeight="1" x14ac:dyDescent="0.2">
      <c r="A113" s="159" t="s">
        <v>94</v>
      </c>
      <c r="B113" s="83" t="s">
        <v>94</v>
      </c>
      <c r="C113" s="83" t="s">
        <v>94</v>
      </c>
      <c r="D113" s="83" t="s">
        <v>94</v>
      </c>
      <c r="J113" s="179"/>
      <c r="K113" s="180"/>
      <c r="L113" s="291" t="str">
        <f>IF(CONFIGURAR!$L$3=1,IF(CONFIGURAR!$M107="","",IF(CONFIGURAR!$AH107=TRUE,"",CONFIGURAR!M107)),IF(CONFIGURAR!$T107="","",CONFIGURAR!T107))</f>
        <v/>
      </c>
      <c r="M113" s="292" t="str">
        <f>IF(CONFIGURAR!$L$3=1,IF(CONFIGURAR!$M107="","",IF(CONFIGURAR!$AH107=TRUE,"",IF(CONFIGURAR!N107="","",CONFIGURAR!N107))),IF(CONFIGURAR!$T107="","",IF(CONFIGURAR!U107="","",CONFIGURAR!U107)))</f>
        <v/>
      </c>
      <c r="N113" s="292" t="str">
        <f>IF(CONFIGURAR!$L$3=1,IF(CONFIGURAR!$M107="","",IF(CONFIGURAR!$AH107=TRUE,"",IF(CONFIGURAR!O107="","",CONFIGURAR!O107))),IF(CONFIGURAR!$T107="","",IF(CONFIGURAR!V107="","",CONFIGURAR!V107)))</f>
        <v/>
      </c>
      <c r="O113" s="292" t="str">
        <f>IF(CONFIGURAR!$L$3=1,IF(CONFIGURAR!$M107="","",IF(CONFIGURAR!$AH107=TRUE,"",IF(CONFIGURAR!P107="","",CONFIGURAR!P107))),IF(CONFIGURAR!$T107="","",IF(CONFIGURAR!W107="","",CONFIGURAR!W107)))</f>
        <v/>
      </c>
    </row>
    <row r="114" spans="1:15" ht="18.75" customHeight="1" x14ac:dyDescent="0.2">
      <c r="A114" s="159" t="s">
        <v>94</v>
      </c>
      <c r="B114" s="83" t="s">
        <v>94</v>
      </c>
      <c r="C114" s="83" t="s">
        <v>94</v>
      </c>
      <c r="D114" s="83" t="s">
        <v>94</v>
      </c>
      <c r="J114" s="179"/>
      <c r="K114" s="180"/>
      <c r="L114" s="291" t="str">
        <f>IF(CONFIGURAR!$L$3=1,IF(CONFIGURAR!$M108="","",IF(CONFIGURAR!$AH108=TRUE,"",CONFIGURAR!M108)),IF(CONFIGURAR!$T108="","",CONFIGURAR!T108))</f>
        <v/>
      </c>
      <c r="M114" s="292" t="str">
        <f>IF(CONFIGURAR!$L$3=1,IF(CONFIGURAR!$M108="","",IF(CONFIGURAR!$AH108=TRUE,"",IF(CONFIGURAR!N108="","",CONFIGURAR!N108))),IF(CONFIGURAR!$T108="","",IF(CONFIGURAR!U108="","",CONFIGURAR!U108)))</f>
        <v/>
      </c>
      <c r="N114" s="292" t="str">
        <f>IF(CONFIGURAR!$L$3=1,IF(CONFIGURAR!$M108="","",IF(CONFIGURAR!$AH108=TRUE,"",IF(CONFIGURAR!O108="","",CONFIGURAR!O108))),IF(CONFIGURAR!$T108="","",IF(CONFIGURAR!V108="","",CONFIGURAR!V108)))</f>
        <v/>
      </c>
      <c r="O114" s="292" t="str">
        <f>IF(CONFIGURAR!$L$3=1,IF(CONFIGURAR!$M108="","",IF(CONFIGURAR!$AH108=TRUE,"",IF(CONFIGURAR!P108="","",CONFIGURAR!P108))),IF(CONFIGURAR!$T108="","",IF(CONFIGURAR!W108="","",CONFIGURAR!W108)))</f>
        <v/>
      </c>
    </row>
    <row r="115" spans="1:15" ht="18.75" customHeight="1" x14ac:dyDescent="0.2">
      <c r="A115" s="159" t="s">
        <v>94</v>
      </c>
      <c r="B115" s="83" t="s">
        <v>94</v>
      </c>
      <c r="C115" s="83" t="s">
        <v>94</v>
      </c>
      <c r="D115" s="83" t="s">
        <v>94</v>
      </c>
      <c r="J115" s="179"/>
      <c r="K115" s="180"/>
      <c r="L115" s="291" t="str">
        <f>IF(CONFIGURAR!$L$3=1,IF(CONFIGURAR!$M109="","",IF(CONFIGURAR!$AH109=TRUE,"",CONFIGURAR!M109)),IF(CONFIGURAR!$T109="","",CONFIGURAR!T109))</f>
        <v/>
      </c>
      <c r="M115" s="292" t="str">
        <f>IF(CONFIGURAR!$L$3=1,IF(CONFIGURAR!$M109="","",IF(CONFIGURAR!$AH109=TRUE,"",IF(CONFIGURAR!N109="","",CONFIGURAR!N109))),IF(CONFIGURAR!$T109="","",IF(CONFIGURAR!U109="","",CONFIGURAR!U109)))</f>
        <v/>
      </c>
      <c r="N115" s="292" t="str">
        <f>IF(CONFIGURAR!$L$3=1,IF(CONFIGURAR!$M109="","",IF(CONFIGURAR!$AH109=TRUE,"",IF(CONFIGURAR!O109="","",CONFIGURAR!O109))),IF(CONFIGURAR!$T109="","",IF(CONFIGURAR!V109="","",CONFIGURAR!V109)))</f>
        <v/>
      </c>
      <c r="O115" s="292" t="str">
        <f>IF(CONFIGURAR!$L$3=1,IF(CONFIGURAR!$M109="","",IF(CONFIGURAR!$AH109=TRUE,"",IF(CONFIGURAR!P109="","",CONFIGURAR!P109))),IF(CONFIGURAR!$T109="","",IF(CONFIGURAR!W109="","",CONFIGURAR!W109)))</f>
        <v/>
      </c>
    </row>
    <row r="116" spans="1:15" ht="18.75" customHeight="1" x14ac:dyDescent="0.2">
      <c r="A116" s="159" t="s">
        <v>94</v>
      </c>
      <c r="B116" s="83" t="s">
        <v>94</v>
      </c>
      <c r="C116" s="83" t="s">
        <v>94</v>
      </c>
      <c r="D116" s="83" t="s">
        <v>94</v>
      </c>
      <c r="J116" s="179"/>
      <c r="K116" s="180"/>
      <c r="L116" s="291" t="str">
        <f>IF(CONFIGURAR!$L$3=1,IF(CONFIGURAR!$M110="","",IF(CONFIGURAR!$AH110=TRUE,"",CONFIGURAR!M110)),IF(CONFIGURAR!$T110="","",CONFIGURAR!T110))</f>
        <v/>
      </c>
      <c r="M116" s="292" t="str">
        <f>IF(CONFIGURAR!$L$3=1,IF(CONFIGURAR!$M110="","",IF(CONFIGURAR!$AH110=TRUE,"",IF(CONFIGURAR!N110="","",CONFIGURAR!N110))),IF(CONFIGURAR!$T110="","",IF(CONFIGURAR!U110="","",CONFIGURAR!U110)))</f>
        <v/>
      </c>
      <c r="N116" s="292" t="str">
        <f>IF(CONFIGURAR!$L$3=1,IF(CONFIGURAR!$M110="","",IF(CONFIGURAR!$AH110=TRUE,"",IF(CONFIGURAR!O110="","",CONFIGURAR!O110))),IF(CONFIGURAR!$T110="","",IF(CONFIGURAR!V110="","",CONFIGURAR!V110)))</f>
        <v/>
      </c>
      <c r="O116" s="292" t="str">
        <f>IF(CONFIGURAR!$L$3=1,IF(CONFIGURAR!$M110="","",IF(CONFIGURAR!$AH110=TRUE,"",IF(CONFIGURAR!P110="","",CONFIGURAR!P110))),IF(CONFIGURAR!$T110="","",IF(CONFIGURAR!W110="","",CONFIGURAR!W110)))</f>
        <v/>
      </c>
    </row>
    <row r="117" spans="1:15" ht="18.75" customHeight="1" x14ac:dyDescent="0.2">
      <c r="A117" s="159" t="s">
        <v>94</v>
      </c>
      <c r="B117" s="83" t="s">
        <v>94</v>
      </c>
      <c r="C117" s="83" t="s">
        <v>94</v>
      </c>
      <c r="D117" s="83" t="s">
        <v>94</v>
      </c>
      <c r="J117" s="179"/>
      <c r="K117" s="180"/>
      <c r="L117" s="291" t="str">
        <f>IF(CONFIGURAR!$L$3=1,IF(CONFIGURAR!$M111="","",IF(CONFIGURAR!$AH111=TRUE,"",CONFIGURAR!M111)),IF(CONFIGURAR!$T111="","",CONFIGURAR!T111))</f>
        <v/>
      </c>
      <c r="M117" s="292" t="str">
        <f>IF(CONFIGURAR!$L$3=1,IF(CONFIGURAR!$M111="","",IF(CONFIGURAR!$AH111=TRUE,"",IF(CONFIGURAR!N111="","",CONFIGURAR!N111))),IF(CONFIGURAR!$T111="","",IF(CONFIGURAR!U111="","",CONFIGURAR!U111)))</f>
        <v/>
      </c>
      <c r="N117" s="292" t="str">
        <f>IF(CONFIGURAR!$L$3=1,IF(CONFIGURAR!$M111="","",IF(CONFIGURAR!$AH111=TRUE,"",IF(CONFIGURAR!O111="","",CONFIGURAR!O111))),IF(CONFIGURAR!$T111="","",IF(CONFIGURAR!V111="","",CONFIGURAR!V111)))</f>
        <v/>
      </c>
      <c r="O117" s="292" t="str">
        <f>IF(CONFIGURAR!$L$3=1,IF(CONFIGURAR!$M111="","",IF(CONFIGURAR!$AH111=TRUE,"",IF(CONFIGURAR!P111="","",CONFIGURAR!P111))),IF(CONFIGURAR!$T111="","",IF(CONFIGURAR!W111="","",CONFIGURAR!W111)))</f>
        <v/>
      </c>
    </row>
    <row r="118" spans="1:15" ht="18.75" customHeight="1" x14ac:dyDescent="0.2">
      <c r="A118" s="159" t="s">
        <v>94</v>
      </c>
      <c r="B118" s="83" t="s">
        <v>94</v>
      </c>
      <c r="C118" s="83" t="s">
        <v>94</v>
      </c>
      <c r="D118" s="83" t="s">
        <v>94</v>
      </c>
      <c r="J118" s="179"/>
      <c r="K118" s="180"/>
      <c r="L118" s="291" t="str">
        <f>IF(CONFIGURAR!$L$3=1,IF(CONFIGURAR!$M112="","",IF(CONFIGURAR!$AH112=TRUE,"",CONFIGURAR!M112)),IF(CONFIGURAR!$T112="","",CONFIGURAR!T112))</f>
        <v/>
      </c>
      <c r="M118" s="292" t="str">
        <f>IF(CONFIGURAR!$L$3=1,IF(CONFIGURAR!$M112="","",IF(CONFIGURAR!$AH112=TRUE,"",IF(CONFIGURAR!N112="","",CONFIGURAR!N112))),IF(CONFIGURAR!$T112="","",IF(CONFIGURAR!U112="","",CONFIGURAR!U112)))</f>
        <v/>
      </c>
      <c r="N118" s="292" t="str">
        <f>IF(CONFIGURAR!$L$3=1,IF(CONFIGURAR!$M112="","",IF(CONFIGURAR!$AH112=TRUE,"",IF(CONFIGURAR!O112="","",CONFIGURAR!O112))),IF(CONFIGURAR!$T112="","",IF(CONFIGURAR!V112="","",CONFIGURAR!V112)))</f>
        <v/>
      </c>
      <c r="O118" s="292" t="str">
        <f>IF(CONFIGURAR!$L$3=1,IF(CONFIGURAR!$M112="","",IF(CONFIGURAR!$AH112=TRUE,"",IF(CONFIGURAR!P112="","",CONFIGURAR!P112))),IF(CONFIGURAR!$T112="","",IF(CONFIGURAR!W112="","",CONFIGURAR!W112)))</f>
        <v/>
      </c>
    </row>
    <row r="119" spans="1:15" ht="18.75" customHeight="1" x14ac:dyDescent="0.2">
      <c r="A119" s="159" t="s">
        <v>94</v>
      </c>
      <c r="B119" s="83" t="s">
        <v>94</v>
      </c>
      <c r="C119" s="83" t="s">
        <v>94</v>
      </c>
      <c r="D119" s="83" t="s">
        <v>94</v>
      </c>
      <c r="J119" s="179"/>
      <c r="K119" s="180"/>
      <c r="L119" s="291" t="str">
        <f>IF(CONFIGURAR!$L$3=1,IF(CONFIGURAR!$M113="","",IF(CONFIGURAR!$AH113=TRUE,"",CONFIGURAR!M113)),IF(CONFIGURAR!$T113="","",CONFIGURAR!T113))</f>
        <v/>
      </c>
      <c r="M119" s="292" t="str">
        <f>IF(CONFIGURAR!$L$3=1,IF(CONFIGURAR!$M113="","",IF(CONFIGURAR!$AH113=TRUE,"",IF(CONFIGURAR!N113="","",CONFIGURAR!N113))),IF(CONFIGURAR!$T113="","",IF(CONFIGURAR!U113="","",CONFIGURAR!U113)))</f>
        <v/>
      </c>
      <c r="N119" s="292" t="str">
        <f>IF(CONFIGURAR!$L$3=1,IF(CONFIGURAR!$M113="","",IF(CONFIGURAR!$AH113=TRUE,"",IF(CONFIGURAR!O113="","",CONFIGURAR!O113))),IF(CONFIGURAR!$T113="","",IF(CONFIGURAR!V113="","",CONFIGURAR!V113)))</f>
        <v/>
      </c>
      <c r="O119" s="292" t="str">
        <f>IF(CONFIGURAR!$L$3=1,IF(CONFIGURAR!$M113="","",IF(CONFIGURAR!$AH113=TRUE,"",IF(CONFIGURAR!P113="","",CONFIGURAR!P113))),IF(CONFIGURAR!$T113="","",IF(CONFIGURAR!W113="","",CONFIGURAR!W113)))</f>
        <v/>
      </c>
    </row>
    <row r="120" spans="1:15" ht="18.75" customHeight="1" x14ac:dyDescent="0.2">
      <c r="A120" s="159" t="s">
        <v>94</v>
      </c>
      <c r="B120" s="83" t="s">
        <v>94</v>
      </c>
      <c r="C120" s="83" t="s">
        <v>94</v>
      </c>
      <c r="D120" s="83" t="s">
        <v>94</v>
      </c>
      <c r="J120" s="179"/>
      <c r="K120" s="180"/>
      <c r="L120" s="291" t="str">
        <f>IF(CONFIGURAR!$L$3=1,IF(CONFIGURAR!$M114="","",IF(CONFIGURAR!$AH114=TRUE,"",CONFIGURAR!M114)),IF(CONFIGURAR!$T114="","",CONFIGURAR!T114))</f>
        <v/>
      </c>
      <c r="M120" s="292" t="str">
        <f>IF(CONFIGURAR!$L$3=1,IF(CONFIGURAR!$M114="","",IF(CONFIGURAR!$AH114=TRUE,"",IF(CONFIGURAR!N114="","",CONFIGURAR!N114))),IF(CONFIGURAR!$T114="","",IF(CONFIGURAR!U114="","",CONFIGURAR!U114)))</f>
        <v/>
      </c>
      <c r="N120" s="292" t="str">
        <f>IF(CONFIGURAR!$L$3=1,IF(CONFIGURAR!$M114="","",IF(CONFIGURAR!$AH114=TRUE,"",IF(CONFIGURAR!O114="","",CONFIGURAR!O114))),IF(CONFIGURAR!$T114="","",IF(CONFIGURAR!V114="","",CONFIGURAR!V114)))</f>
        <v/>
      </c>
      <c r="O120" s="292" t="str">
        <f>IF(CONFIGURAR!$L$3=1,IF(CONFIGURAR!$M114="","",IF(CONFIGURAR!$AH114=TRUE,"",IF(CONFIGURAR!P114="","",CONFIGURAR!P114))),IF(CONFIGURAR!$T114="","",IF(CONFIGURAR!W114="","",CONFIGURAR!W114)))</f>
        <v/>
      </c>
    </row>
    <row r="121" spans="1:15" ht="18.75" customHeight="1" x14ac:dyDescent="0.2">
      <c r="A121" s="159" t="s">
        <v>94</v>
      </c>
      <c r="B121" s="83" t="s">
        <v>94</v>
      </c>
      <c r="C121" s="83" t="s">
        <v>94</v>
      </c>
      <c r="D121" s="83" t="s">
        <v>94</v>
      </c>
      <c r="J121" s="179"/>
      <c r="K121" s="180"/>
      <c r="L121" s="291" t="str">
        <f>IF(CONFIGURAR!$L$3=1,IF(CONFIGURAR!$M115="","",IF(CONFIGURAR!$AH115=TRUE,"",CONFIGURAR!M115)),IF(CONFIGURAR!$T115="","",CONFIGURAR!T115))</f>
        <v/>
      </c>
      <c r="M121" s="292" t="str">
        <f>IF(CONFIGURAR!$L$3=1,IF(CONFIGURAR!$M115="","",IF(CONFIGURAR!$AH115=TRUE,"",IF(CONFIGURAR!N115="","",CONFIGURAR!N115))),IF(CONFIGURAR!$T115="","",IF(CONFIGURAR!U115="","",CONFIGURAR!U115)))</f>
        <v/>
      </c>
      <c r="N121" s="292" t="str">
        <f>IF(CONFIGURAR!$L$3=1,IF(CONFIGURAR!$M115="","",IF(CONFIGURAR!$AH115=TRUE,"",IF(CONFIGURAR!O115="","",CONFIGURAR!O115))),IF(CONFIGURAR!$T115="","",IF(CONFIGURAR!V115="","",CONFIGURAR!V115)))</f>
        <v/>
      </c>
      <c r="O121" s="292" t="str">
        <f>IF(CONFIGURAR!$L$3=1,IF(CONFIGURAR!$M115="","",IF(CONFIGURAR!$AH115=TRUE,"",IF(CONFIGURAR!P115="","",CONFIGURAR!P115))),IF(CONFIGURAR!$T115="","",IF(CONFIGURAR!W115="","",CONFIGURAR!W115)))</f>
        <v/>
      </c>
    </row>
    <row r="122" spans="1:15" ht="18.75" customHeight="1" x14ac:dyDescent="0.2">
      <c r="A122" s="159" t="s">
        <v>94</v>
      </c>
      <c r="B122" s="83" t="s">
        <v>94</v>
      </c>
      <c r="C122" s="83" t="s">
        <v>94</v>
      </c>
      <c r="D122" s="83" t="s">
        <v>94</v>
      </c>
      <c r="J122" s="179"/>
      <c r="K122" s="180"/>
      <c r="L122" s="291" t="str">
        <f>IF(CONFIGURAR!$L$3=1,IF(CONFIGURAR!$M116="","",IF(CONFIGURAR!$AH116=TRUE,"",CONFIGURAR!M116)),IF(CONFIGURAR!$T116="","",CONFIGURAR!T116))</f>
        <v/>
      </c>
      <c r="M122" s="292" t="str">
        <f>IF(CONFIGURAR!$L$3=1,IF(CONFIGURAR!$M116="","",IF(CONFIGURAR!$AH116=TRUE,"",IF(CONFIGURAR!N116="","",CONFIGURAR!N116))),IF(CONFIGURAR!$T116="","",IF(CONFIGURAR!U116="","",CONFIGURAR!U116)))</f>
        <v/>
      </c>
      <c r="N122" s="292" t="str">
        <f>IF(CONFIGURAR!$L$3=1,IF(CONFIGURAR!$M116="","",IF(CONFIGURAR!$AH116=TRUE,"",IF(CONFIGURAR!O116="","",CONFIGURAR!O116))),IF(CONFIGURAR!$T116="","",IF(CONFIGURAR!V116="","",CONFIGURAR!V116)))</f>
        <v/>
      </c>
      <c r="O122" s="292" t="str">
        <f>IF(CONFIGURAR!$L$3=1,IF(CONFIGURAR!$M116="","",IF(CONFIGURAR!$AH116=TRUE,"",IF(CONFIGURAR!P116="","",CONFIGURAR!P116))),IF(CONFIGURAR!$T116="","",IF(CONFIGURAR!W116="","",CONFIGURAR!W116)))</f>
        <v/>
      </c>
    </row>
    <row r="123" spans="1:15" ht="18.75" customHeight="1" x14ac:dyDescent="0.2">
      <c r="A123" s="159" t="s">
        <v>94</v>
      </c>
      <c r="B123" s="83" t="s">
        <v>94</v>
      </c>
      <c r="C123" s="83" t="s">
        <v>94</v>
      </c>
      <c r="D123" s="83" t="s">
        <v>94</v>
      </c>
      <c r="J123" s="179"/>
      <c r="K123" s="180"/>
      <c r="L123" s="291" t="str">
        <f>IF(CONFIGURAR!$L$3=1,IF(CONFIGURAR!$M117="","",IF(CONFIGURAR!$AH117=TRUE,"",CONFIGURAR!M117)),IF(CONFIGURAR!$T117="","",CONFIGURAR!T117))</f>
        <v/>
      </c>
      <c r="M123" s="292" t="str">
        <f>IF(CONFIGURAR!$L$3=1,IF(CONFIGURAR!$M117="","",IF(CONFIGURAR!$AH117=TRUE,"",IF(CONFIGURAR!N117="","",CONFIGURAR!N117))),IF(CONFIGURAR!$T117="","",IF(CONFIGURAR!U117="","",CONFIGURAR!U117)))</f>
        <v/>
      </c>
      <c r="N123" s="292" t="str">
        <f>IF(CONFIGURAR!$L$3=1,IF(CONFIGURAR!$M117="","",IF(CONFIGURAR!$AH117=TRUE,"",IF(CONFIGURAR!O117="","",CONFIGURAR!O117))),IF(CONFIGURAR!$T117="","",IF(CONFIGURAR!V117="","",CONFIGURAR!V117)))</f>
        <v/>
      </c>
      <c r="O123" s="292" t="str">
        <f>IF(CONFIGURAR!$L$3=1,IF(CONFIGURAR!$M117="","",IF(CONFIGURAR!$AH117=TRUE,"",IF(CONFIGURAR!P117="","",CONFIGURAR!P117))),IF(CONFIGURAR!$T117="","",IF(CONFIGURAR!W117="","",CONFIGURAR!W117)))</f>
        <v/>
      </c>
    </row>
    <row r="124" spans="1:15" ht="18.75" customHeight="1" x14ac:dyDescent="0.2">
      <c r="A124" s="159" t="s">
        <v>94</v>
      </c>
      <c r="B124" s="83" t="s">
        <v>94</v>
      </c>
      <c r="C124" s="83" t="s">
        <v>94</v>
      </c>
      <c r="D124" s="83" t="s">
        <v>94</v>
      </c>
      <c r="J124" s="179"/>
      <c r="K124" s="180"/>
      <c r="L124" s="291" t="str">
        <f>IF(CONFIGURAR!$L$3=1,IF(CONFIGURAR!$M118="","",IF(CONFIGURAR!$AH118=TRUE,"",CONFIGURAR!M118)),IF(CONFIGURAR!$T118="","",CONFIGURAR!T118))</f>
        <v/>
      </c>
      <c r="M124" s="292" t="str">
        <f>IF(CONFIGURAR!$L$3=1,IF(CONFIGURAR!$M118="","",IF(CONFIGURAR!$AH118=TRUE,"",IF(CONFIGURAR!N118="","",CONFIGURAR!N118))),IF(CONFIGURAR!$T118="","",IF(CONFIGURAR!U118="","",CONFIGURAR!U118)))</f>
        <v/>
      </c>
      <c r="N124" s="292" t="str">
        <f>IF(CONFIGURAR!$L$3=1,IF(CONFIGURAR!$M118="","",IF(CONFIGURAR!$AH118=TRUE,"",IF(CONFIGURAR!O118="","",CONFIGURAR!O118))),IF(CONFIGURAR!$T118="","",IF(CONFIGURAR!V118="","",CONFIGURAR!V118)))</f>
        <v/>
      </c>
      <c r="O124" s="292" t="str">
        <f>IF(CONFIGURAR!$L$3=1,IF(CONFIGURAR!$M118="","",IF(CONFIGURAR!$AH118=TRUE,"",IF(CONFIGURAR!P118="","",CONFIGURAR!P118))),IF(CONFIGURAR!$T118="","",IF(CONFIGURAR!W118="","",CONFIGURAR!W118)))</f>
        <v/>
      </c>
    </row>
    <row r="125" spans="1:15" ht="18.75" customHeight="1" x14ac:dyDescent="0.2">
      <c r="A125" s="159" t="s">
        <v>94</v>
      </c>
      <c r="B125" s="83" t="s">
        <v>94</v>
      </c>
      <c r="C125" s="83" t="s">
        <v>94</v>
      </c>
      <c r="D125" s="83" t="s">
        <v>94</v>
      </c>
      <c r="J125" s="179"/>
      <c r="K125" s="180"/>
      <c r="L125" s="291" t="str">
        <f>IF(CONFIGURAR!$L$3=1,IF(CONFIGURAR!$M119="","",IF(CONFIGURAR!$AH119=TRUE,"",CONFIGURAR!M119)),IF(CONFIGURAR!$T119="","",CONFIGURAR!T119))</f>
        <v/>
      </c>
      <c r="M125" s="292" t="str">
        <f>IF(CONFIGURAR!$L$3=1,IF(CONFIGURAR!$M119="","",IF(CONFIGURAR!$AH119=TRUE,"",IF(CONFIGURAR!N119="","",CONFIGURAR!N119))),IF(CONFIGURAR!$T119="","",IF(CONFIGURAR!U119="","",CONFIGURAR!U119)))</f>
        <v/>
      </c>
      <c r="N125" s="292" t="str">
        <f>IF(CONFIGURAR!$L$3=1,IF(CONFIGURAR!$M119="","",IF(CONFIGURAR!$AH119=TRUE,"",IF(CONFIGURAR!O119="","",CONFIGURAR!O119))),IF(CONFIGURAR!$T119="","",IF(CONFIGURAR!V119="","",CONFIGURAR!V119)))</f>
        <v/>
      </c>
      <c r="O125" s="292" t="str">
        <f>IF(CONFIGURAR!$L$3=1,IF(CONFIGURAR!$M119="","",IF(CONFIGURAR!$AH119=TRUE,"",IF(CONFIGURAR!P119="","",CONFIGURAR!P119))),IF(CONFIGURAR!$T119="","",IF(CONFIGURAR!W119="","",CONFIGURAR!W119)))</f>
        <v/>
      </c>
    </row>
    <row r="126" spans="1:15" ht="18.75" customHeight="1" x14ac:dyDescent="0.2">
      <c r="A126" s="159" t="s">
        <v>94</v>
      </c>
      <c r="B126" s="83" t="s">
        <v>94</v>
      </c>
      <c r="C126" s="83" t="s">
        <v>94</v>
      </c>
      <c r="D126" s="83" t="s">
        <v>94</v>
      </c>
      <c r="J126" s="179"/>
      <c r="K126" s="180"/>
      <c r="L126" s="291" t="str">
        <f>IF(CONFIGURAR!$L$3=1,IF(CONFIGURAR!$M120="","",IF(CONFIGURAR!$AH120=TRUE,"",CONFIGURAR!M120)),IF(CONFIGURAR!$T120="","",CONFIGURAR!T120))</f>
        <v/>
      </c>
      <c r="M126" s="292" t="str">
        <f>IF(CONFIGURAR!$L$3=1,IF(CONFIGURAR!$M120="","",IF(CONFIGURAR!$AH120=TRUE,"",IF(CONFIGURAR!N120="","",CONFIGURAR!N120))),IF(CONFIGURAR!$T120="","",IF(CONFIGURAR!U120="","",CONFIGURAR!U120)))</f>
        <v/>
      </c>
      <c r="N126" s="292" t="str">
        <f>IF(CONFIGURAR!$L$3=1,IF(CONFIGURAR!$M120="","",IF(CONFIGURAR!$AH120=TRUE,"",IF(CONFIGURAR!O120="","",CONFIGURAR!O120))),IF(CONFIGURAR!$T120="","",IF(CONFIGURAR!V120="","",CONFIGURAR!V120)))</f>
        <v/>
      </c>
      <c r="O126" s="292" t="str">
        <f>IF(CONFIGURAR!$L$3=1,IF(CONFIGURAR!$M120="","",IF(CONFIGURAR!$AH120=TRUE,"",IF(CONFIGURAR!P120="","",CONFIGURAR!P120))),IF(CONFIGURAR!$T120="","",IF(CONFIGURAR!W120="","",CONFIGURAR!W120)))</f>
        <v/>
      </c>
    </row>
    <row r="127" spans="1:15" ht="18.75" customHeight="1" x14ac:dyDescent="0.2">
      <c r="A127" s="159" t="s">
        <v>94</v>
      </c>
      <c r="B127" s="83" t="s">
        <v>94</v>
      </c>
      <c r="C127" s="83" t="s">
        <v>94</v>
      </c>
      <c r="D127" s="83" t="s">
        <v>94</v>
      </c>
      <c r="J127" s="179"/>
      <c r="K127" s="180"/>
      <c r="L127" s="291" t="str">
        <f>IF(CONFIGURAR!$L$3=1,IF(CONFIGURAR!$M121="","",IF(CONFIGURAR!$AH121=TRUE,"",CONFIGURAR!M121)),IF(CONFIGURAR!$T121="","",CONFIGURAR!T121))</f>
        <v/>
      </c>
      <c r="M127" s="292" t="str">
        <f>IF(CONFIGURAR!$L$3=1,IF(CONFIGURAR!$M121="","",IF(CONFIGURAR!$AH121=TRUE,"",IF(CONFIGURAR!N121="","",CONFIGURAR!N121))),IF(CONFIGURAR!$T121="","",IF(CONFIGURAR!U121="","",CONFIGURAR!U121)))</f>
        <v/>
      </c>
      <c r="N127" s="292" t="str">
        <f>IF(CONFIGURAR!$L$3=1,IF(CONFIGURAR!$M121="","",IF(CONFIGURAR!$AH121=TRUE,"",IF(CONFIGURAR!O121="","",CONFIGURAR!O121))),IF(CONFIGURAR!$T121="","",IF(CONFIGURAR!V121="","",CONFIGURAR!V121)))</f>
        <v/>
      </c>
      <c r="O127" s="292" t="str">
        <f>IF(CONFIGURAR!$L$3=1,IF(CONFIGURAR!$M121="","",IF(CONFIGURAR!$AH121=TRUE,"",IF(CONFIGURAR!P121="","",CONFIGURAR!P121))),IF(CONFIGURAR!$T121="","",IF(CONFIGURAR!W121="","",CONFIGURAR!W121)))</f>
        <v/>
      </c>
    </row>
    <row r="128" spans="1:15" ht="18.75" customHeight="1" x14ac:dyDescent="0.2">
      <c r="A128" s="159" t="s">
        <v>94</v>
      </c>
      <c r="B128" s="83" t="s">
        <v>94</v>
      </c>
      <c r="C128" s="83" t="s">
        <v>94</v>
      </c>
      <c r="D128" s="83" t="s">
        <v>94</v>
      </c>
      <c r="J128" s="179"/>
      <c r="K128" s="180"/>
      <c r="L128" s="291" t="str">
        <f>IF(CONFIGURAR!$L$3=1,IF(CONFIGURAR!$M122="","",IF(CONFIGURAR!$AH122=TRUE,"",CONFIGURAR!M122)),IF(CONFIGURAR!$T122="","",CONFIGURAR!T122))</f>
        <v/>
      </c>
      <c r="M128" s="292" t="str">
        <f>IF(CONFIGURAR!$L$3=1,IF(CONFIGURAR!$M122="","",IF(CONFIGURAR!$AH122=TRUE,"",IF(CONFIGURAR!N122="","",CONFIGURAR!N122))),IF(CONFIGURAR!$T122="","",IF(CONFIGURAR!U122="","",CONFIGURAR!U122)))</f>
        <v/>
      </c>
      <c r="N128" s="292" t="str">
        <f>IF(CONFIGURAR!$L$3=1,IF(CONFIGURAR!$M122="","",IF(CONFIGURAR!$AH122=TRUE,"",IF(CONFIGURAR!O122="","",CONFIGURAR!O122))),IF(CONFIGURAR!$T122="","",IF(CONFIGURAR!V122="","",CONFIGURAR!V122)))</f>
        <v/>
      </c>
      <c r="O128" s="292" t="str">
        <f>IF(CONFIGURAR!$L$3=1,IF(CONFIGURAR!$M122="","",IF(CONFIGURAR!$AH122=TRUE,"",IF(CONFIGURAR!P122="","",CONFIGURAR!P122))),IF(CONFIGURAR!$T122="","",IF(CONFIGURAR!W122="","",CONFIGURAR!W122)))</f>
        <v/>
      </c>
    </row>
    <row r="129" spans="1:15" ht="18.75" customHeight="1" x14ac:dyDescent="0.2">
      <c r="A129" s="159" t="s">
        <v>94</v>
      </c>
      <c r="B129" s="83" t="s">
        <v>94</v>
      </c>
      <c r="C129" s="83" t="s">
        <v>94</v>
      </c>
      <c r="D129" s="83" t="s">
        <v>94</v>
      </c>
      <c r="J129" s="179"/>
      <c r="K129" s="180"/>
      <c r="L129" s="291" t="str">
        <f>IF(CONFIGURAR!$L$3=1,IF(CONFIGURAR!$M123="","",IF(CONFIGURAR!$AH123=TRUE,"",CONFIGURAR!M123)),IF(CONFIGURAR!$T123="","",CONFIGURAR!T123))</f>
        <v/>
      </c>
      <c r="M129" s="292" t="str">
        <f>IF(CONFIGURAR!$L$3=1,IF(CONFIGURAR!$M123="","",IF(CONFIGURAR!$AH123=TRUE,"",IF(CONFIGURAR!N123="","",CONFIGURAR!N123))),IF(CONFIGURAR!$T123="","",IF(CONFIGURAR!U123="","",CONFIGURAR!U123)))</f>
        <v/>
      </c>
      <c r="N129" s="292" t="str">
        <f>IF(CONFIGURAR!$L$3=1,IF(CONFIGURAR!$M123="","",IF(CONFIGURAR!$AH123=TRUE,"",IF(CONFIGURAR!O123="","",CONFIGURAR!O123))),IF(CONFIGURAR!$T123="","",IF(CONFIGURAR!V123="","",CONFIGURAR!V123)))</f>
        <v/>
      </c>
      <c r="O129" s="292" t="str">
        <f>IF(CONFIGURAR!$L$3=1,IF(CONFIGURAR!$M123="","",IF(CONFIGURAR!$AH123=TRUE,"",IF(CONFIGURAR!P123="","",CONFIGURAR!P123))),IF(CONFIGURAR!$T123="","",IF(CONFIGURAR!W123="","",CONFIGURAR!W123)))</f>
        <v/>
      </c>
    </row>
    <row r="130" spans="1:15" ht="18.75" customHeight="1" x14ac:dyDescent="0.2">
      <c r="A130" s="159" t="s">
        <v>94</v>
      </c>
      <c r="B130" s="83" t="s">
        <v>94</v>
      </c>
      <c r="C130" s="83" t="s">
        <v>94</v>
      </c>
      <c r="D130" s="83" t="s">
        <v>94</v>
      </c>
      <c r="J130" s="179"/>
      <c r="K130" s="180"/>
      <c r="L130" s="291" t="str">
        <f>IF(CONFIGURAR!$L$3=1,IF(CONFIGURAR!$M124="","",IF(CONFIGURAR!$AH124=TRUE,"",CONFIGURAR!M124)),IF(CONFIGURAR!$T124="","",CONFIGURAR!T124))</f>
        <v/>
      </c>
      <c r="M130" s="292" t="str">
        <f>IF(CONFIGURAR!$L$3=1,IF(CONFIGURAR!$M124="","",IF(CONFIGURAR!$AH124=TRUE,"",IF(CONFIGURAR!N124="","",CONFIGURAR!N124))),IF(CONFIGURAR!$T124="","",IF(CONFIGURAR!U124="","",CONFIGURAR!U124)))</f>
        <v/>
      </c>
      <c r="N130" s="292" t="str">
        <f>IF(CONFIGURAR!$L$3=1,IF(CONFIGURAR!$M124="","",IF(CONFIGURAR!$AH124=TRUE,"",IF(CONFIGURAR!O124="","",CONFIGURAR!O124))),IF(CONFIGURAR!$T124="","",IF(CONFIGURAR!V124="","",CONFIGURAR!V124)))</f>
        <v/>
      </c>
      <c r="O130" s="292" t="str">
        <f>IF(CONFIGURAR!$L$3=1,IF(CONFIGURAR!$M124="","",IF(CONFIGURAR!$AH124=TRUE,"",IF(CONFIGURAR!P124="","",CONFIGURAR!P124))),IF(CONFIGURAR!$T124="","",IF(CONFIGURAR!W124="","",CONFIGURAR!W124)))</f>
        <v/>
      </c>
    </row>
    <row r="131" spans="1:15" ht="18.75" customHeight="1" x14ac:dyDescent="0.2">
      <c r="A131" s="159" t="s">
        <v>94</v>
      </c>
      <c r="B131" s="83" t="s">
        <v>94</v>
      </c>
      <c r="C131" s="83" t="s">
        <v>94</v>
      </c>
      <c r="D131" s="83" t="s">
        <v>94</v>
      </c>
      <c r="J131" s="179"/>
      <c r="K131" s="180"/>
      <c r="L131" s="291" t="str">
        <f>IF(CONFIGURAR!$L$3=1,IF(CONFIGURAR!$M125="","",IF(CONFIGURAR!$AH125=TRUE,"",CONFIGURAR!M125)),IF(CONFIGURAR!$T125="","",CONFIGURAR!T125))</f>
        <v/>
      </c>
      <c r="M131" s="292" t="str">
        <f>IF(CONFIGURAR!$L$3=1,IF(CONFIGURAR!$M125="","",IF(CONFIGURAR!$AH125=TRUE,"",IF(CONFIGURAR!N125="","",CONFIGURAR!N125))),IF(CONFIGURAR!$T125="","",IF(CONFIGURAR!U125="","",CONFIGURAR!U125)))</f>
        <v/>
      </c>
      <c r="N131" s="292" t="str">
        <f>IF(CONFIGURAR!$L$3=1,IF(CONFIGURAR!$M125="","",IF(CONFIGURAR!$AH125=TRUE,"",IF(CONFIGURAR!O125="","",CONFIGURAR!O125))),IF(CONFIGURAR!$T125="","",IF(CONFIGURAR!V125="","",CONFIGURAR!V125)))</f>
        <v/>
      </c>
      <c r="O131" s="292" t="str">
        <f>IF(CONFIGURAR!$L$3=1,IF(CONFIGURAR!$M125="","",IF(CONFIGURAR!$AH125=TRUE,"",IF(CONFIGURAR!P125="","",CONFIGURAR!P125))),IF(CONFIGURAR!$T125="","",IF(CONFIGURAR!W125="","",CONFIGURAR!W125)))</f>
        <v/>
      </c>
    </row>
    <row r="132" spans="1:15" ht="18.75" customHeight="1" x14ac:dyDescent="0.2">
      <c r="A132" s="159" t="s">
        <v>94</v>
      </c>
      <c r="B132" s="83" t="s">
        <v>94</v>
      </c>
      <c r="C132" s="83" t="s">
        <v>94</v>
      </c>
      <c r="D132" s="83" t="s">
        <v>94</v>
      </c>
      <c r="J132" s="179"/>
      <c r="K132" s="180"/>
      <c r="L132" s="291" t="str">
        <f>IF(CONFIGURAR!$L$3=1,IF(CONFIGURAR!$M126="","",IF(CONFIGURAR!$AH126=TRUE,"",CONFIGURAR!M126)),IF(CONFIGURAR!$T126="","",CONFIGURAR!T126))</f>
        <v/>
      </c>
      <c r="M132" s="292" t="str">
        <f>IF(CONFIGURAR!$L$3=1,IF(CONFIGURAR!$M126="","",IF(CONFIGURAR!$AH126=TRUE,"",IF(CONFIGURAR!N126="","",CONFIGURAR!N126))),IF(CONFIGURAR!$T126="","",IF(CONFIGURAR!U126="","",CONFIGURAR!U126)))</f>
        <v/>
      </c>
      <c r="N132" s="292" t="str">
        <f>IF(CONFIGURAR!$L$3=1,IF(CONFIGURAR!$M126="","",IF(CONFIGURAR!$AH126=TRUE,"",IF(CONFIGURAR!O126="","",CONFIGURAR!O126))),IF(CONFIGURAR!$T126="","",IF(CONFIGURAR!V126="","",CONFIGURAR!V126)))</f>
        <v/>
      </c>
      <c r="O132" s="292" t="str">
        <f>IF(CONFIGURAR!$L$3=1,IF(CONFIGURAR!$M126="","",IF(CONFIGURAR!$AH126=TRUE,"",IF(CONFIGURAR!P126="","",CONFIGURAR!P126))),IF(CONFIGURAR!$T126="","",IF(CONFIGURAR!W126="","",CONFIGURAR!W126)))</f>
        <v/>
      </c>
    </row>
    <row r="133" spans="1:15" ht="18.75" customHeight="1" x14ac:dyDescent="0.2">
      <c r="A133" s="159" t="s">
        <v>94</v>
      </c>
      <c r="B133" s="83" t="s">
        <v>94</v>
      </c>
      <c r="C133" s="83" t="s">
        <v>94</v>
      </c>
      <c r="D133" s="83" t="s">
        <v>94</v>
      </c>
      <c r="J133" s="179"/>
      <c r="K133" s="180"/>
      <c r="L133" s="291" t="str">
        <f>IF(CONFIGURAR!$L$3=1,IF(CONFIGURAR!$M127="","",IF(CONFIGURAR!$AH127=TRUE,"",CONFIGURAR!M127)),IF(CONFIGURAR!$T127="","",CONFIGURAR!T127))</f>
        <v/>
      </c>
      <c r="M133" s="292" t="str">
        <f>IF(CONFIGURAR!$L$3=1,IF(CONFIGURAR!$M127="","",IF(CONFIGURAR!$AH127=TRUE,"",IF(CONFIGURAR!N127="","",CONFIGURAR!N127))),IF(CONFIGURAR!$T127="","",IF(CONFIGURAR!U127="","",CONFIGURAR!U127)))</f>
        <v/>
      </c>
      <c r="N133" s="292" t="str">
        <f>IF(CONFIGURAR!$L$3=1,IF(CONFIGURAR!$M127="","",IF(CONFIGURAR!$AH127=TRUE,"",IF(CONFIGURAR!O127="","",CONFIGURAR!O127))),IF(CONFIGURAR!$T127="","",IF(CONFIGURAR!V127="","",CONFIGURAR!V127)))</f>
        <v/>
      </c>
      <c r="O133" s="292" t="str">
        <f>IF(CONFIGURAR!$L$3=1,IF(CONFIGURAR!$M127="","",IF(CONFIGURAR!$AH127=TRUE,"",IF(CONFIGURAR!P127="","",CONFIGURAR!P127))),IF(CONFIGURAR!$T127="","",IF(CONFIGURAR!W127="","",CONFIGURAR!W127)))</f>
        <v/>
      </c>
    </row>
    <row r="134" spans="1:15" ht="18.75" customHeight="1" x14ac:dyDescent="0.2">
      <c r="A134" s="159" t="s">
        <v>94</v>
      </c>
      <c r="B134" s="83" t="s">
        <v>94</v>
      </c>
      <c r="C134" s="83" t="s">
        <v>94</v>
      </c>
      <c r="D134" s="83" t="s">
        <v>94</v>
      </c>
      <c r="J134" s="179"/>
      <c r="K134" s="180"/>
      <c r="L134" s="291" t="str">
        <f>IF(CONFIGURAR!$L$3=1,IF(CONFIGURAR!$M128="","",IF(CONFIGURAR!$AH128=TRUE,"",CONFIGURAR!M128)),IF(CONFIGURAR!$T128="","",CONFIGURAR!T128))</f>
        <v/>
      </c>
      <c r="M134" s="292" t="str">
        <f>IF(CONFIGURAR!$L$3=1,IF(CONFIGURAR!$M128="","",IF(CONFIGURAR!$AH128=TRUE,"",IF(CONFIGURAR!N128="","",CONFIGURAR!N128))),IF(CONFIGURAR!$T128="","",IF(CONFIGURAR!U128="","",CONFIGURAR!U128)))</f>
        <v/>
      </c>
      <c r="N134" s="292" t="str">
        <f>IF(CONFIGURAR!$L$3=1,IF(CONFIGURAR!$M128="","",IF(CONFIGURAR!$AH128=TRUE,"",IF(CONFIGURAR!O128="","",CONFIGURAR!O128))),IF(CONFIGURAR!$T128="","",IF(CONFIGURAR!V128="","",CONFIGURAR!V128)))</f>
        <v/>
      </c>
      <c r="O134" s="292" t="str">
        <f>IF(CONFIGURAR!$L$3=1,IF(CONFIGURAR!$M128="","",IF(CONFIGURAR!$AH128=TRUE,"",IF(CONFIGURAR!P128="","",CONFIGURAR!P128))),IF(CONFIGURAR!$T128="","",IF(CONFIGURAR!W128="","",CONFIGURAR!W128)))</f>
        <v/>
      </c>
    </row>
    <row r="135" spans="1:15" ht="18.75" customHeight="1" x14ac:dyDescent="0.2">
      <c r="A135" s="159" t="s">
        <v>94</v>
      </c>
      <c r="B135" s="83" t="s">
        <v>94</v>
      </c>
      <c r="C135" s="83" t="s">
        <v>94</v>
      </c>
      <c r="D135" s="83" t="s">
        <v>94</v>
      </c>
      <c r="J135" s="179"/>
      <c r="K135" s="180"/>
      <c r="L135" s="291" t="str">
        <f>IF(CONFIGURAR!$L$3=1,IF(CONFIGURAR!$M129="","",IF(CONFIGURAR!$AH129=TRUE,"",CONFIGURAR!M129)),IF(CONFIGURAR!$T129="","",CONFIGURAR!T129))</f>
        <v/>
      </c>
      <c r="M135" s="292" t="str">
        <f>IF(CONFIGURAR!$L$3=1,IF(CONFIGURAR!$M129="","",IF(CONFIGURAR!$AH129=TRUE,"",IF(CONFIGURAR!N129="","",CONFIGURAR!N129))),IF(CONFIGURAR!$T129="","",IF(CONFIGURAR!U129="","",CONFIGURAR!U129)))</f>
        <v/>
      </c>
      <c r="N135" s="292" t="str">
        <f>IF(CONFIGURAR!$L$3=1,IF(CONFIGURAR!$M129="","",IF(CONFIGURAR!$AH129=TRUE,"",IF(CONFIGURAR!O129="","",CONFIGURAR!O129))),IF(CONFIGURAR!$T129="","",IF(CONFIGURAR!V129="","",CONFIGURAR!V129)))</f>
        <v/>
      </c>
      <c r="O135" s="292" t="str">
        <f>IF(CONFIGURAR!$L$3=1,IF(CONFIGURAR!$M129="","",IF(CONFIGURAR!$AH129=TRUE,"",IF(CONFIGURAR!P129="","",CONFIGURAR!P129))),IF(CONFIGURAR!$T129="","",IF(CONFIGURAR!W129="","",CONFIGURAR!W129)))</f>
        <v/>
      </c>
    </row>
    <row r="136" spans="1:15" ht="18.75" customHeight="1" x14ac:dyDescent="0.2">
      <c r="A136" s="159" t="s">
        <v>94</v>
      </c>
      <c r="B136" s="83" t="s">
        <v>94</v>
      </c>
      <c r="C136" s="83" t="s">
        <v>94</v>
      </c>
      <c r="D136" s="83" t="s">
        <v>94</v>
      </c>
      <c r="J136" s="179"/>
      <c r="K136" s="180"/>
      <c r="L136" s="291" t="str">
        <f>IF(CONFIGURAR!$L$3=1,IF(CONFIGURAR!$M130="","",IF(CONFIGURAR!$AH130=TRUE,"",CONFIGURAR!M130)),IF(CONFIGURAR!$T130="","",CONFIGURAR!T130))</f>
        <v/>
      </c>
      <c r="M136" s="292" t="str">
        <f>IF(CONFIGURAR!$L$3=1,IF(CONFIGURAR!$M130="","",IF(CONFIGURAR!$AH130=TRUE,"",IF(CONFIGURAR!N130="","",CONFIGURAR!N130))),IF(CONFIGURAR!$T130="","",IF(CONFIGURAR!U130="","",CONFIGURAR!U130)))</f>
        <v/>
      </c>
      <c r="N136" s="292" t="str">
        <f>IF(CONFIGURAR!$L$3=1,IF(CONFIGURAR!$M130="","",IF(CONFIGURAR!$AH130=TRUE,"",IF(CONFIGURAR!O130="","",CONFIGURAR!O130))),IF(CONFIGURAR!$T130="","",IF(CONFIGURAR!V130="","",CONFIGURAR!V130)))</f>
        <v/>
      </c>
      <c r="O136" s="292" t="str">
        <f>IF(CONFIGURAR!$L$3=1,IF(CONFIGURAR!$M130="","",IF(CONFIGURAR!$AH130=TRUE,"",IF(CONFIGURAR!P130="","",CONFIGURAR!P130))),IF(CONFIGURAR!$T130="","",IF(CONFIGURAR!W130="","",CONFIGURAR!W130)))</f>
        <v/>
      </c>
    </row>
    <row r="137" spans="1:15" ht="18.75" customHeight="1" x14ac:dyDescent="0.2">
      <c r="A137" s="159" t="s">
        <v>94</v>
      </c>
      <c r="B137" s="83" t="s">
        <v>94</v>
      </c>
      <c r="C137" s="83" t="s">
        <v>94</v>
      </c>
      <c r="D137" s="83" t="s">
        <v>94</v>
      </c>
      <c r="J137" s="179"/>
      <c r="K137" s="180"/>
      <c r="L137" s="291" t="str">
        <f>IF(CONFIGURAR!$L$3=1,IF(CONFIGURAR!$M131="","",IF(CONFIGURAR!$AH131=TRUE,"",CONFIGURAR!M131)),IF(CONFIGURAR!$T131="","",CONFIGURAR!T131))</f>
        <v/>
      </c>
      <c r="M137" s="292" t="str">
        <f>IF(CONFIGURAR!$L$3=1,IF(CONFIGURAR!$M131="","",IF(CONFIGURAR!$AH131=TRUE,"",IF(CONFIGURAR!N131="","",CONFIGURAR!N131))),IF(CONFIGURAR!$T131="","",IF(CONFIGURAR!U131="","",CONFIGURAR!U131)))</f>
        <v/>
      </c>
      <c r="N137" s="292" t="str">
        <f>IF(CONFIGURAR!$L$3=1,IF(CONFIGURAR!$M131="","",IF(CONFIGURAR!$AH131=TRUE,"",IF(CONFIGURAR!O131="","",CONFIGURAR!O131))),IF(CONFIGURAR!$T131="","",IF(CONFIGURAR!V131="","",CONFIGURAR!V131)))</f>
        <v/>
      </c>
      <c r="O137" s="292" t="str">
        <f>IF(CONFIGURAR!$L$3=1,IF(CONFIGURAR!$M131="","",IF(CONFIGURAR!$AH131=TRUE,"",IF(CONFIGURAR!P131="","",CONFIGURAR!P131))),IF(CONFIGURAR!$T131="","",IF(CONFIGURAR!W131="","",CONFIGURAR!W131)))</f>
        <v/>
      </c>
    </row>
    <row r="138" spans="1:15" ht="18.75" customHeight="1" x14ac:dyDescent="0.2">
      <c r="A138" s="159" t="s">
        <v>94</v>
      </c>
      <c r="B138" s="83" t="s">
        <v>94</v>
      </c>
      <c r="C138" s="83" t="s">
        <v>94</v>
      </c>
      <c r="D138" s="83" t="s">
        <v>94</v>
      </c>
      <c r="J138" s="179"/>
      <c r="K138" s="180"/>
      <c r="L138" s="291" t="str">
        <f>IF(CONFIGURAR!$L$3=1,IF(CONFIGURAR!$M132="","",IF(CONFIGURAR!$AH132=TRUE,"",CONFIGURAR!M132)),IF(CONFIGURAR!$T132="","",CONFIGURAR!T132))</f>
        <v/>
      </c>
      <c r="M138" s="292" t="str">
        <f>IF(CONFIGURAR!$L$3=1,IF(CONFIGURAR!$M132="","",IF(CONFIGURAR!$AH132=TRUE,"",IF(CONFIGURAR!N132="","",CONFIGURAR!N132))),IF(CONFIGURAR!$T132="","",IF(CONFIGURAR!U132="","",CONFIGURAR!U132)))</f>
        <v/>
      </c>
      <c r="N138" s="292" t="str">
        <f>IF(CONFIGURAR!$L$3=1,IF(CONFIGURAR!$M132="","",IF(CONFIGURAR!$AH132=TRUE,"",IF(CONFIGURAR!O132="","",CONFIGURAR!O132))),IF(CONFIGURAR!$T132="","",IF(CONFIGURAR!V132="","",CONFIGURAR!V132)))</f>
        <v/>
      </c>
      <c r="O138" s="292" t="str">
        <f>IF(CONFIGURAR!$L$3=1,IF(CONFIGURAR!$M132="","",IF(CONFIGURAR!$AH132=TRUE,"",IF(CONFIGURAR!P132="","",CONFIGURAR!P132))),IF(CONFIGURAR!$T132="","",IF(CONFIGURAR!W132="","",CONFIGURAR!W132)))</f>
        <v/>
      </c>
    </row>
    <row r="139" spans="1:15" ht="18.75" customHeight="1" x14ac:dyDescent="0.2">
      <c r="A139" s="159" t="s">
        <v>94</v>
      </c>
      <c r="B139" s="83" t="s">
        <v>94</v>
      </c>
      <c r="C139" s="83" t="s">
        <v>94</v>
      </c>
      <c r="D139" s="83" t="s">
        <v>94</v>
      </c>
      <c r="J139" s="179"/>
      <c r="K139" s="180"/>
      <c r="L139" s="291" t="str">
        <f>IF(CONFIGURAR!$L$3=1,IF(CONFIGURAR!$M133="","",IF(CONFIGURAR!$AH133=TRUE,"",CONFIGURAR!M133)),IF(CONFIGURAR!$T133="","",CONFIGURAR!T133))</f>
        <v/>
      </c>
      <c r="M139" s="292" t="str">
        <f>IF(CONFIGURAR!$L$3=1,IF(CONFIGURAR!$M133="","",IF(CONFIGURAR!$AH133=TRUE,"",IF(CONFIGURAR!N133="","",CONFIGURAR!N133))),IF(CONFIGURAR!$T133="","",IF(CONFIGURAR!U133="","",CONFIGURAR!U133)))</f>
        <v/>
      </c>
      <c r="N139" s="292" t="str">
        <f>IF(CONFIGURAR!$L$3=1,IF(CONFIGURAR!$M133="","",IF(CONFIGURAR!$AH133=TRUE,"",IF(CONFIGURAR!O133="","",CONFIGURAR!O133))),IF(CONFIGURAR!$T133="","",IF(CONFIGURAR!V133="","",CONFIGURAR!V133)))</f>
        <v/>
      </c>
      <c r="O139" s="292" t="str">
        <f>IF(CONFIGURAR!$L$3=1,IF(CONFIGURAR!$M133="","",IF(CONFIGURAR!$AH133=TRUE,"",IF(CONFIGURAR!P133="","",CONFIGURAR!P133))),IF(CONFIGURAR!$T133="","",IF(CONFIGURAR!W133="","",CONFIGURAR!W133)))</f>
        <v/>
      </c>
    </row>
    <row r="140" spans="1:15" ht="18.75" customHeight="1" x14ac:dyDescent="0.2">
      <c r="A140" s="159" t="s">
        <v>94</v>
      </c>
      <c r="B140" s="83" t="s">
        <v>94</v>
      </c>
      <c r="C140" s="83" t="s">
        <v>94</v>
      </c>
      <c r="D140" s="83" t="s">
        <v>94</v>
      </c>
      <c r="J140" s="179"/>
      <c r="K140" s="180"/>
      <c r="L140" s="291" t="str">
        <f>IF(CONFIGURAR!$L$3=1,IF(CONFIGURAR!$M134="","",IF(CONFIGURAR!$AH134=TRUE,"",CONFIGURAR!M134)),IF(CONFIGURAR!$T134="","",CONFIGURAR!T134))</f>
        <v/>
      </c>
      <c r="M140" s="292" t="str">
        <f>IF(CONFIGURAR!$L$3=1,IF(CONFIGURAR!$M134="","",IF(CONFIGURAR!$AH134=TRUE,"",IF(CONFIGURAR!N134="","",CONFIGURAR!N134))),IF(CONFIGURAR!$T134="","",IF(CONFIGURAR!U134="","",CONFIGURAR!U134)))</f>
        <v/>
      </c>
      <c r="N140" s="292" t="str">
        <f>IF(CONFIGURAR!$L$3=1,IF(CONFIGURAR!$M134="","",IF(CONFIGURAR!$AH134=TRUE,"",IF(CONFIGURAR!O134="","",CONFIGURAR!O134))),IF(CONFIGURAR!$T134="","",IF(CONFIGURAR!V134="","",CONFIGURAR!V134)))</f>
        <v/>
      </c>
      <c r="O140" s="292" t="str">
        <f>IF(CONFIGURAR!$L$3=1,IF(CONFIGURAR!$M134="","",IF(CONFIGURAR!$AH134=TRUE,"",IF(CONFIGURAR!P134="","",CONFIGURAR!P134))),IF(CONFIGURAR!$T134="","",IF(CONFIGURAR!W134="","",CONFIGURAR!W134)))</f>
        <v/>
      </c>
    </row>
    <row r="141" spans="1:15" ht="18.75" customHeight="1" x14ac:dyDescent="0.2">
      <c r="A141" s="159" t="s">
        <v>94</v>
      </c>
      <c r="B141" s="83" t="s">
        <v>94</v>
      </c>
      <c r="C141" s="83" t="s">
        <v>94</v>
      </c>
      <c r="D141" s="83" t="s">
        <v>94</v>
      </c>
      <c r="J141" s="179"/>
      <c r="K141" s="180"/>
      <c r="L141" s="291" t="str">
        <f>IF(CONFIGURAR!$L$3=1,IF(CONFIGURAR!$M135="","",IF(CONFIGURAR!$AH135=TRUE,"",CONFIGURAR!M135)),IF(CONFIGURAR!$T135="","",CONFIGURAR!T135))</f>
        <v/>
      </c>
      <c r="M141" s="292" t="str">
        <f>IF(CONFIGURAR!$L$3=1,IF(CONFIGURAR!$M135="","",IF(CONFIGURAR!$AH135=TRUE,"",IF(CONFIGURAR!N135="","",CONFIGURAR!N135))),IF(CONFIGURAR!$T135="","",IF(CONFIGURAR!U135="","",CONFIGURAR!U135)))</f>
        <v/>
      </c>
      <c r="N141" s="292" t="str">
        <f>IF(CONFIGURAR!$L$3=1,IF(CONFIGURAR!$M135="","",IF(CONFIGURAR!$AH135=TRUE,"",IF(CONFIGURAR!O135="","",CONFIGURAR!O135))),IF(CONFIGURAR!$T135="","",IF(CONFIGURAR!V135="","",CONFIGURAR!V135)))</f>
        <v/>
      </c>
      <c r="O141" s="292" t="str">
        <f>IF(CONFIGURAR!$L$3=1,IF(CONFIGURAR!$M135="","",IF(CONFIGURAR!$AH135=TRUE,"",IF(CONFIGURAR!P135="","",CONFIGURAR!P135))),IF(CONFIGURAR!$T135="","",IF(CONFIGURAR!W135="","",CONFIGURAR!W135)))</f>
        <v/>
      </c>
    </row>
    <row r="142" spans="1:15" ht="18.75" customHeight="1" x14ac:dyDescent="0.2">
      <c r="A142" s="159" t="s">
        <v>94</v>
      </c>
      <c r="B142" s="83" t="s">
        <v>94</v>
      </c>
      <c r="C142" s="83" t="s">
        <v>94</v>
      </c>
      <c r="D142" s="83" t="s">
        <v>94</v>
      </c>
      <c r="J142" s="179"/>
      <c r="K142" s="180"/>
      <c r="L142" s="291" t="str">
        <f>IF(CONFIGURAR!$L$3=1,IF(CONFIGURAR!$M136="","",IF(CONFIGURAR!$AH136=TRUE,"",CONFIGURAR!M136)),IF(CONFIGURAR!$T136="","",CONFIGURAR!T136))</f>
        <v/>
      </c>
      <c r="M142" s="292" t="str">
        <f>IF(CONFIGURAR!$L$3=1,IF(CONFIGURAR!$M136="","",IF(CONFIGURAR!$AH136=TRUE,"",IF(CONFIGURAR!N136="","",CONFIGURAR!N136))),IF(CONFIGURAR!$T136="","",IF(CONFIGURAR!U136="","",CONFIGURAR!U136)))</f>
        <v/>
      </c>
      <c r="N142" s="292" t="str">
        <f>IF(CONFIGURAR!$L$3=1,IF(CONFIGURAR!$M136="","",IF(CONFIGURAR!$AH136=TRUE,"",IF(CONFIGURAR!O136="","",CONFIGURAR!O136))),IF(CONFIGURAR!$T136="","",IF(CONFIGURAR!V136="","",CONFIGURAR!V136)))</f>
        <v/>
      </c>
      <c r="O142" s="292" t="str">
        <f>IF(CONFIGURAR!$L$3=1,IF(CONFIGURAR!$M136="","",IF(CONFIGURAR!$AH136=TRUE,"",IF(CONFIGURAR!P136="","",CONFIGURAR!P136))),IF(CONFIGURAR!$T136="","",IF(CONFIGURAR!W136="","",CONFIGURAR!W136)))</f>
        <v/>
      </c>
    </row>
    <row r="143" spans="1:15" ht="18.75" customHeight="1" x14ac:dyDescent="0.2">
      <c r="A143" s="159" t="s">
        <v>94</v>
      </c>
      <c r="B143" s="83" t="s">
        <v>94</v>
      </c>
      <c r="C143" s="83" t="s">
        <v>94</v>
      </c>
      <c r="D143" s="83" t="s">
        <v>94</v>
      </c>
      <c r="J143" s="179"/>
      <c r="K143" s="180"/>
      <c r="L143" s="291" t="str">
        <f>IF(CONFIGURAR!$L$3=1,IF(CONFIGURAR!$M137="","",IF(CONFIGURAR!$AH137=TRUE,"",CONFIGURAR!M137)),IF(CONFIGURAR!$T137="","",CONFIGURAR!T137))</f>
        <v/>
      </c>
      <c r="M143" s="292" t="str">
        <f>IF(CONFIGURAR!$L$3=1,IF(CONFIGURAR!$M137="","",IF(CONFIGURAR!$AH137=TRUE,"",IF(CONFIGURAR!N137="","",CONFIGURAR!N137))),IF(CONFIGURAR!$T137="","",IF(CONFIGURAR!U137="","",CONFIGURAR!U137)))</f>
        <v/>
      </c>
      <c r="N143" s="292" t="str">
        <f>IF(CONFIGURAR!$L$3=1,IF(CONFIGURAR!$M137="","",IF(CONFIGURAR!$AH137=TRUE,"",IF(CONFIGURAR!O137="","",CONFIGURAR!O137))),IF(CONFIGURAR!$T137="","",IF(CONFIGURAR!V137="","",CONFIGURAR!V137)))</f>
        <v/>
      </c>
      <c r="O143" s="292" t="str">
        <f>IF(CONFIGURAR!$L$3=1,IF(CONFIGURAR!$M137="","",IF(CONFIGURAR!$AH137=TRUE,"",IF(CONFIGURAR!P137="","",CONFIGURAR!P137))),IF(CONFIGURAR!$T137="","",IF(CONFIGURAR!W137="","",CONFIGURAR!W137)))</f>
        <v/>
      </c>
    </row>
    <row r="144" spans="1:15" ht="18.75" customHeight="1" x14ac:dyDescent="0.2">
      <c r="A144" s="159" t="s">
        <v>94</v>
      </c>
      <c r="B144" s="83" t="s">
        <v>94</v>
      </c>
      <c r="C144" s="83" t="s">
        <v>94</v>
      </c>
      <c r="D144" s="83" t="s">
        <v>94</v>
      </c>
      <c r="J144" s="179"/>
      <c r="K144" s="180"/>
      <c r="L144" s="291" t="str">
        <f>IF(CONFIGURAR!$L$3=1,IF(CONFIGURAR!$M138="","",IF(CONFIGURAR!$AH138=TRUE,"",CONFIGURAR!M138)),IF(CONFIGURAR!$T138="","",CONFIGURAR!T138))</f>
        <v/>
      </c>
      <c r="M144" s="292" t="str">
        <f>IF(CONFIGURAR!$L$3=1,IF(CONFIGURAR!$M138="","",IF(CONFIGURAR!$AH138=TRUE,"",IF(CONFIGURAR!N138="","",CONFIGURAR!N138))),IF(CONFIGURAR!$T138="","",IF(CONFIGURAR!U138="","",CONFIGURAR!U138)))</f>
        <v/>
      </c>
      <c r="N144" s="292" t="str">
        <f>IF(CONFIGURAR!$L$3=1,IF(CONFIGURAR!$M138="","",IF(CONFIGURAR!$AH138=TRUE,"",IF(CONFIGURAR!O138="","",CONFIGURAR!O138))),IF(CONFIGURAR!$T138="","",IF(CONFIGURAR!V138="","",CONFIGURAR!V138)))</f>
        <v/>
      </c>
      <c r="O144" s="292" t="str">
        <f>IF(CONFIGURAR!$L$3=1,IF(CONFIGURAR!$M138="","",IF(CONFIGURAR!$AH138=TRUE,"",IF(CONFIGURAR!P138="","",CONFIGURAR!P138))),IF(CONFIGURAR!$T138="","",IF(CONFIGURAR!W138="","",CONFIGURAR!W138)))</f>
        <v/>
      </c>
    </row>
    <row r="145" spans="1:15" ht="18.75" customHeight="1" x14ac:dyDescent="0.2">
      <c r="A145" s="159" t="s">
        <v>94</v>
      </c>
      <c r="B145" s="83" t="s">
        <v>94</v>
      </c>
      <c r="C145" s="83" t="s">
        <v>94</v>
      </c>
      <c r="D145" s="83" t="s">
        <v>94</v>
      </c>
      <c r="J145" s="179"/>
      <c r="K145" s="180"/>
      <c r="L145" s="291" t="str">
        <f>IF(CONFIGURAR!$L$3=1,IF(CONFIGURAR!$M139="","",IF(CONFIGURAR!$AH139=TRUE,"",CONFIGURAR!M139)),IF(CONFIGURAR!$T139="","",CONFIGURAR!T139))</f>
        <v/>
      </c>
      <c r="M145" s="292" t="str">
        <f>IF(CONFIGURAR!$L$3=1,IF(CONFIGURAR!$M139="","",IF(CONFIGURAR!$AH139=TRUE,"",IF(CONFIGURAR!N139="","",CONFIGURAR!N139))),IF(CONFIGURAR!$T139="","",IF(CONFIGURAR!U139="","",CONFIGURAR!U139)))</f>
        <v/>
      </c>
      <c r="N145" s="292" t="str">
        <f>IF(CONFIGURAR!$L$3=1,IF(CONFIGURAR!$M139="","",IF(CONFIGURAR!$AH139=TRUE,"",IF(CONFIGURAR!O139="","",CONFIGURAR!O139))),IF(CONFIGURAR!$T139="","",IF(CONFIGURAR!V139="","",CONFIGURAR!V139)))</f>
        <v/>
      </c>
      <c r="O145" s="292" t="str">
        <f>IF(CONFIGURAR!$L$3=1,IF(CONFIGURAR!$M139="","",IF(CONFIGURAR!$AH139=TRUE,"",IF(CONFIGURAR!P139="","",CONFIGURAR!P139))),IF(CONFIGURAR!$T139="","",IF(CONFIGURAR!W139="","",CONFIGURAR!W139)))</f>
        <v/>
      </c>
    </row>
    <row r="146" spans="1:15" ht="18.75" customHeight="1" x14ac:dyDescent="0.2">
      <c r="A146" s="159" t="s">
        <v>94</v>
      </c>
      <c r="B146" s="83" t="s">
        <v>94</v>
      </c>
      <c r="C146" s="83" t="s">
        <v>94</v>
      </c>
      <c r="D146" s="83" t="s">
        <v>94</v>
      </c>
      <c r="J146" s="179"/>
      <c r="K146" s="180"/>
      <c r="L146" s="291" t="str">
        <f>IF(CONFIGURAR!$L$3=1,IF(CONFIGURAR!$M140="","",IF(CONFIGURAR!$AH140=TRUE,"",CONFIGURAR!M140)),IF(CONFIGURAR!$T140="","",CONFIGURAR!T140))</f>
        <v/>
      </c>
      <c r="M146" s="292" t="str">
        <f>IF(CONFIGURAR!$L$3=1,IF(CONFIGURAR!$M140="","",IF(CONFIGURAR!$AH140=TRUE,"",IF(CONFIGURAR!N140="","",CONFIGURAR!N140))),IF(CONFIGURAR!$T140="","",IF(CONFIGURAR!U140="","",CONFIGURAR!U140)))</f>
        <v/>
      </c>
      <c r="N146" s="292" t="str">
        <f>IF(CONFIGURAR!$L$3=1,IF(CONFIGURAR!$M140="","",IF(CONFIGURAR!$AH140=TRUE,"",IF(CONFIGURAR!O140="","",CONFIGURAR!O140))),IF(CONFIGURAR!$T140="","",IF(CONFIGURAR!V140="","",CONFIGURAR!V140)))</f>
        <v/>
      </c>
      <c r="O146" s="292" t="str">
        <f>IF(CONFIGURAR!$L$3=1,IF(CONFIGURAR!$M140="","",IF(CONFIGURAR!$AH140=TRUE,"",IF(CONFIGURAR!P140="","",CONFIGURAR!P140))),IF(CONFIGURAR!$T140="","",IF(CONFIGURAR!W140="","",CONFIGURAR!W140)))</f>
        <v/>
      </c>
    </row>
    <row r="147" spans="1:15" ht="18.75" customHeight="1" x14ac:dyDescent="0.2">
      <c r="A147" s="159" t="s">
        <v>94</v>
      </c>
      <c r="B147" s="83" t="s">
        <v>94</v>
      </c>
      <c r="C147" s="83" t="s">
        <v>94</v>
      </c>
      <c r="D147" s="83" t="s">
        <v>94</v>
      </c>
      <c r="J147" s="179"/>
      <c r="K147" s="180"/>
      <c r="L147" s="291" t="str">
        <f>IF(CONFIGURAR!$L$3=1,IF(CONFIGURAR!$M141="","",IF(CONFIGURAR!$AH141=TRUE,"",CONFIGURAR!M141)),IF(CONFIGURAR!$T141="","",CONFIGURAR!T141))</f>
        <v/>
      </c>
      <c r="M147" s="292" t="str">
        <f>IF(CONFIGURAR!$L$3=1,IF(CONFIGURAR!$M141="","",IF(CONFIGURAR!$AH141=TRUE,"",IF(CONFIGURAR!N141="","",CONFIGURAR!N141))),IF(CONFIGURAR!$T141="","",IF(CONFIGURAR!U141="","",CONFIGURAR!U141)))</f>
        <v/>
      </c>
      <c r="N147" s="292" t="str">
        <f>IF(CONFIGURAR!$L$3=1,IF(CONFIGURAR!$M141="","",IF(CONFIGURAR!$AH141=TRUE,"",IF(CONFIGURAR!O141="","",CONFIGURAR!O141))),IF(CONFIGURAR!$T141="","",IF(CONFIGURAR!V141="","",CONFIGURAR!V141)))</f>
        <v/>
      </c>
      <c r="O147" s="292" t="str">
        <f>IF(CONFIGURAR!$L$3=1,IF(CONFIGURAR!$M141="","",IF(CONFIGURAR!$AH141=TRUE,"",IF(CONFIGURAR!P141="","",CONFIGURAR!P141))),IF(CONFIGURAR!$T141="","",IF(CONFIGURAR!W141="","",CONFIGURAR!W141)))</f>
        <v/>
      </c>
    </row>
    <row r="148" spans="1:15" ht="18.75" customHeight="1" x14ac:dyDescent="0.2">
      <c r="A148" s="159" t="s">
        <v>94</v>
      </c>
      <c r="B148" s="83" t="s">
        <v>94</v>
      </c>
      <c r="C148" s="83" t="s">
        <v>94</v>
      </c>
      <c r="D148" s="83" t="s">
        <v>94</v>
      </c>
      <c r="J148" s="179"/>
      <c r="K148" s="180"/>
      <c r="L148" s="291" t="str">
        <f>IF(CONFIGURAR!$L$3=1,IF(CONFIGURAR!$M142="","",IF(CONFIGURAR!$AH142=TRUE,"",CONFIGURAR!M142)),IF(CONFIGURAR!$T142="","",CONFIGURAR!T142))</f>
        <v/>
      </c>
      <c r="M148" s="292" t="str">
        <f>IF(CONFIGURAR!$L$3=1,IF(CONFIGURAR!$M142="","",IF(CONFIGURAR!$AH142=TRUE,"",IF(CONFIGURAR!N142="","",CONFIGURAR!N142))),IF(CONFIGURAR!$T142="","",IF(CONFIGURAR!U142="","",CONFIGURAR!U142)))</f>
        <v/>
      </c>
      <c r="N148" s="292" t="str">
        <f>IF(CONFIGURAR!$L$3=1,IF(CONFIGURAR!$M142="","",IF(CONFIGURAR!$AH142=TRUE,"",IF(CONFIGURAR!O142="","",CONFIGURAR!O142))),IF(CONFIGURAR!$T142="","",IF(CONFIGURAR!V142="","",CONFIGURAR!V142)))</f>
        <v/>
      </c>
      <c r="O148" s="292" t="str">
        <f>IF(CONFIGURAR!$L$3=1,IF(CONFIGURAR!$M142="","",IF(CONFIGURAR!$AH142=TRUE,"",IF(CONFIGURAR!P142="","",CONFIGURAR!P142))),IF(CONFIGURAR!$T142="","",IF(CONFIGURAR!W142="","",CONFIGURAR!W142)))</f>
        <v/>
      </c>
    </row>
    <row r="149" spans="1:15" ht="18.75" customHeight="1" x14ac:dyDescent="0.2">
      <c r="A149" s="159" t="s">
        <v>94</v>
      </c>
      <c r="B149" s="83" t="s">
        <v>94</v>
      </c>
      <c r="C149" s="83" t="s">
        <v>94</v>
      </c>
      <c r="D149" s="83" t="s">
        <v>94</v>
      </c>
      <c r="J149" s="179"/>
      <c r="K149" s="180"/>
      <c r="L149" s="291" t="str">
        <f>IF(CONFIGURAR!$L$3=1,IF(CONFIGURAR!$M143="","",IF(CONFIGURAR!$AH143=TRUE,"",CONFIGURAR!M143)),IF(CONFIGURAR!$T143="","",CONFIGURAR!T143))</f>
        <v/>
      </c>
      <c r="M149" s="292" t="str">
        <f>IF(CONFIGURAR!$L$3=1,IF(CONFIGURAR!$M143="","",IF(CONFIGURAR!$AH143=TRUE,"",IF(CONFIGURAR!N143="","",CONFIGURAR!N143))),IF(CONFIGURAR!$T143="","",IF(CONFIGURAR!U143="","",CONFIGURAR!U143)))</f>
        <v/>
      </c>
      <c r="N149" s="292" t="str">
        <f>IF(CONFIGURAR!$L$3=1,IF(CONFIGURAR!$M143="","",IF(CONFIGURAR!$AH143=TRUE,"",IF(CONFIGURAR!O143="","",CONFIGURAR!O143))),IF(CONFIGURAR!$T143="","",IF(CONFIGURAR!V143="","",CONFIGURAR!V143)))</f>
        <v/>
      </c>
      <c r="O149" s="292" t="str">
        <f>IF(CONFIGURAR!$L$3=1,IF(CONFIGURAR!$M143="","",IF(CONFIGURAR!$AH143=TRUE,"",IF(CONFIGURAR!P143="","",CONFIGURAR!P143))),IF(CONFIGURAR!$T143="","",IF(CONFIGURAR!W143="","",CONFIGURAR!W143)))</f>
        <v/>
      </c>
    </row>
    <row r="150" spans="1:15" ht="18.75" customHeight="1" x14ac:dyDescent="0.2">
      <c r="A150" s="159" t="s">
        <v>94</v>
      </c>
      <c r="B150" s="83" t="s">
        <v>94</v>
      </c>
      <c r="C150" s="83" t="s">
        <v>94</v>
      </c>
      <c r="D150" s="83" t="s">
        <v>94</v>
      </c>
      <c r="J150" s="179"/>
      <c r="K150" s="180"/>
      <c r="L150" s="291" t="str">
        <f>IF(CONFIGURAR!$L$3=1,IF(CONFIGURAR!$M144="","",IF(CONFIGURAR!$AH144=TRUE,"",CONFIGURAR!M144)),IF(CONFIGURAR!$T144="","",CONFIGURAR!T144))</f>
        <v/>
      </c>
      <c r="M150" s="292" t="str">
        <f>IF(CONFIGURAR!$L$3=1,IF(CONFIGURAR!$M144="","",IF(CONFIGURAR!$AH144=TRUE,"",IF(CONFIGURAR!N144="","",CONFIGURAR!N144))),IF(CONFIGURAR!$T144="","",IF(CONFIGURAR!U144="","",CONFIGURAR!U144)))</f>
        <v/>
      </c>
      <c r="N150" s="292" t="str">
        <f>IF(CONFIGURAR!$L$3=1,IF(CONFIGURAR!$M144="","",IF(CONFIGURAR!$AH144=TRUE,"",IF(CONFIGURAR!O144="","",CONFIGURAR!O144))),IF(CONFIGURAR!$T144="","",IF(CONFIGURAR!V144="","",CONFIGURAR!V144)))</f>
        <v/>
      </c>
      <c r="O150" s="292" t="str">
        <f>IF(CONFIGURAR!$L$3=1,IF(CONFIGURAR!$M144="","",IF(CONFIGURAR!$AH144=TRUE,"",IF(CONFIGURAR!P144="","",CONFIGURAR!P144))),IF(CONFIGURAR!$T144="","",IF(CONFIGURAR!W144="","",CONFIGURAR!W144)))</f>
        <v/>
      </c>
    </row>
    <row r="151" spans="1:15" ht="18.75" customHeight="1" x14ac:dyDescent="0.2">
      <c r="A151" s="159" t="s">
        <v>94</v>
      </c>
      <c r="B151" s="83" t="s">
        <v>94</v>
      </c>
      <c r="C151" s="83" t="s">
        <v>94</v>
      </c>
      <c r="D151" s="83" t="s">
        <v>94</v>
      </c>
      <c r="J151" s="179"/>
      <c r="K151" s="180"/>
      <c r="L151" s="291" t="str">
        <f>IF(CONFIGURAR!$L$3=1,IF(CONFIGURAR!$M145="","",IF(CONFIGURAR!$AH145=TRUE,"",CONFIGURAR!M145)),IF(CONFIGURAR!$T145="","",CONFIGURAR!T145))</f>
        <v/>
      </c>
      <c r="M151" s="292" t="str">
        <f>IF(CONFIGURAR!$L$3=1,IF(CONFIGURAR!$M145="","",IF(CONFIGURAR!$AH145=TRUE,"",IF(CONFIGURAR!N145="","",CONFIGURAR!N145))),IF(CONFIGURAR!$T145="","",IF(CONFIGURAR!U145="","",CONFIGURAR!U145)))</f>
        <v/>
      </c>
      <c r="N151" s="292" t="str">
        <f>IF(CONFIGURAR!$L$3=1,IF(CONFIGURAR!$M145="","",IF(CONFIGURAR!$AH145=TRUE,"",IF(CONFIGURAR!O145="","",CONFIGURAR!O145))),IF(CONFIGURAR!$T145="","",IF(CONFIGURAR!V145="","",CONFIGURAR!V145)))</f>
        <v/>
      </c>
      <c r="O151" s="292" t="str">
        <f>IF(CONFIGURAR!$L$3=1,IF(CONFIGURAR!$M145="","",IF(CONFIGURAR!$AH145=TRUE,"",IF(CONFIGURAR!P145="","",CONFIGURAR!P145))),IF(CONFIGURAR!$T145="","",IF(CONFIGURAR!W145="","",CONFIGURAR!W145)))</f>
        <v/>
      </c>
    </row>
    <row r="152" spans="1:15" ht="18.75" customHeight="1" x14ac:dyDescent="0.2">
      <c r="A152" s="159" t="s">
        <v>94</v>
      </c>
      <c r="B152" s="83" t="s">
        <v>94</v>
      </c>
      <c r="C152" s="83" t="s">
        <v>94</v>
      </c>
      <c r="D152" s="83" t="s">
        <v>94</v>
      </c>
      <c r="J152" s="179"/>
      <c r="K152" s="180"/>
      <c r="L152" s="291" t="str">
        <f>IF(CONFIGURAR!$L$3=1,IF(CONFIGURAR!$M146="","",IF(CONFIGURAR!$AH146=TRUE,"",CONFIGURAR!M146)),IF(CONFIGURAR!$T146="","",CONFIGURAR!T146))</f>
        <v/>
      </c>
      <c r="M152" s="292" t="str">
        <f>IF(CONFIGURAR!$L$3=1,IF(CONFIGURAR!$M146="","",IF(CONFIGURAR!$AH146=TRUE,"",IF(CONFIGURAR!N146="","",CONFIGURAR!N146))),IF(CONFIGURAR!$T146="","",IF(CONFIGURAR!U146="","",CONFIGURAR!U146)))</f>
        <v/>
      </c>
      <c r="N152" s="292" t="str">
        <f>IF(CONFIGURAR!$L$3=1,IF(CONFIGURAR!$M146="","",IF(CONFIGURAR!$AH146=TRUE,"",IF(CONFIGURAR!O146="","",CONFIGURAR!O146))),IF(CONFIGURAR!$T146="","",IF(CONFIGURAR!V146="","",CONFIGURAR!V146)))</f>
        <v/>
      </c>
      <c r="O152" s="292" t="str">
        <f>IF(CONFIGURAR!$L$3=1,IF(CONFIGURAR!$M146="","",IF(CONFIGURAR!$AH146=TRUE,"",IF(CONFIGURAR!P146="","",CONFIGURAR!P146))),IF(CONFIGURAR!$T146="","",IF(CONFIGURAR!W146="","",CONFIGURAR!W146)))</f>
        <v/>
      </c>
    </row>
    <row r="153" spans="1:15" ht="18.75" customHeight="1" x14ac:dyDescent="0.2">
      <c r="A153" s="159" t="s">
        <v>94</v>
      </c>
      <c r="B153" s="83" t="s">
        <v>94</v>
      </c>
      <c r="C153" s="83" t="s">
        <v>94</v>
      </c>
      <c r="D153" s="83" t="s">
        <v>94</v>
      </c>
      <c r="J153" s="179"/>
      <c r="K153" s="180"/>
      <c r="L153" s="291" t="str">
        <f>IF(CONFIGURAR!$L$3=1,IF(CONFIGURAR!$M147="","",IF(CONFIGURAR!$AH147=TRUE,"",CONFIGURAR!M147)),IF(CONFIGURAR!$T147="","",CONFIGURAR!T147))</f>
        <v/>
      </c>
      <c r="M153" s="292" t="str">
        <f>IF(CONFIGURAR!$L$3=1,IF(CONFIGURAR!$M147="","",IF(CONFIGURAR!$AH147=TRUE,"",IF(CONFIGURAR!N147="","",CONFIGURAR!N147))),IF(CONFIGURAR!$T147="","",IF(CONFIGURAR!U147="","",CONFIGURAR!U147)))</f>
        <v/>
      </c>
      <c r="N153" s="292" t="str">
        <f>IF(CONFIGURAR!$L$3=1,IF(CONFIGURAR!$M147="","",IF(CONFIGURAR!$AH147=TRUE,"",IF(CONFIGURAR!O147="","",CONFIGURAR!O147))),IF(CONFIGURAR!$T147="","",IF(CONFIGURAR!V147="","",CONFIGURAR!V147)))</f>
        <v/>
      </c>
      <c r="O153" s="292" t="str">
        <f>IF(CONFIGURAR!$L$3=1,IF(CONFIGURAR!$M147="","",IF(CONFIGURAR!$AH147=TRUE,"",IF(CONFIGURAR!P147="","",CONFIGURAR!P147))),IF(CONFIGURAR!$T147="","",IF(CONFIGURAR!W147="","",CONFIGURAR!W147)))</f>
        <v/>
      </c>
    </row>
    <row r="154" spans="1:15" ht="18.75" customHeight="1" x14ac:dyDescent="0.2">
      <c r="A154" s="159" t="s">
        <v>94</v>
      </c>
      <c r="B154" s="83" t="s">
        <v>94</v>
      </c>
      <c r="C154" s="83" t="s">
        <v>94</v>
      </c>
      <c r="D154" s="83" t="s">
        <v>94</v>
      </c>
      <c r="J154" s="179"/>
      <c r="K154" s="180"/>
      <c r="L154" s="291" t="str">
        <f>IF(CONFIGURAR!$L$3=1,IF(CONFIGURAR!$M148="","",IF(CONFIGURAR!$AH148=TRUE,"",CONFIGURAR!M148)),IF(CONFIGURAR!$T148="","",CONFIGURAR!T148))</f>
        <v/>
      </c>
      <c r="M154" s="292" t="str">
        <f>IF(CONFIGURAR!$L$3=1,IF(CONFIGURAR!$M148="","",IF(CONFIGURAR!$AH148=TRUE,"",IF(CONFIGURAR!N148="","",CONFIGURAR!N148))),IF(CONFIGURAR!$T148="","",IF(CONFIGURAR!U148="","",CONFIGURAR!U148)))</f>
        <v/>
      </c>
      <c r="N154" s="292" t="str">
        <f>IF(CONFIGURAR!$L$3=1,IF(CONFIGURAR!$M148="","",IF(CONFIGURAR!$AH148=TRUE,"",IF(CONFIGURAR!O148="","",CONFIGURAR!O148))),IF(CONFIGURAR!$T148="","",IF(CONFIGURAR!V148="","",CONFIGURAR!V148)))</f>
        <v/>
      </c>
      <c r="O154" s="292" t="str">
        <f>IF(CONFIGURAR!$L$3=1,IF(CONFIGURAR!$M148="","",IF(CONFIGURAR!$AH148=TRUE,"",IF(CONFIGURAR!P148="","",CONFIGURAR!P148))),IF(CONFIGURAR!$T148="","",IF(CONFIGURAR!W148="","",CONFIGURAR!W148)))</f>
        <v/>
      </c>
    </row>
    <row r="155" spans="1:15" ht="18.75" customHeight="1" x14ac:dyDescent="0.2">
      <c r="A155" s="159" t="s">
        <v>94</v>
      </c>
      <c r="B155" s="83" t="s">
        <v>94</v>
      </c>
      <c r="C155" s="83" t="s">
        <v>94</v>
      </c>
      <c r="D155" s="83" t="s">
        <v>94</v>
      </c>
      <c r="J155" s="179"/>
      <c r="K155" s="180"/>
      <c r="L155" s="291" t="str">
        <f>IF(CONFIGURAR!$L$3=1,IF(CONFIGURAR!$M149="","",IF(CONFIGURAR!$AH149=TRUE,"",CONFIGURAR!M149)),IF(CONFIGURAR!$T149="","",CONFIGURAR!T149))</f>
        <v/>
      </c>
      <c r="M155" s="292" t="str">
        <f>IF(CONFIGURAR!$L$3=1,IF(CONFIGURAR!$M149="","",IF(CONFIGURAR!$AH149=TRUE,"",IF(CONFIGURAR!N149="","",CONFIGURAR!N149))),IF(CONFIGURAR!$T149="","",IF(CONFIGURAR!U149="","",CONFIGURAR!U149)))</f>
        <v/>
      </c>
      <c r="N155" s="292" t="str">
        <f>IF(CONFIGURAR!$L$3=1,IF(CONFIGURAR!$M149="","",IF(CONFIGURAR!$AH149=TRUE,"",IF(CONFIGURAR!O149="","",CONFIGURAR!O149))),IF(CONFIGURAR!$T149="","",IF(CONFIGURAR!V149="","",CONFIGURAR!V149)))</f>
        <v/>
      </c>
      <c r="O155" s="292" t="str">
        <f>IF(CONFIGURAR!$L$3=1,IF(CONFIGURAR!$M149="","",IF(CONFIGURAR!$AH149=TRUE,"",IF(CONFIGURAR!P149="","",CONFIGURAR!P149))),IF(CONFIGURAR!$T149="","",IF(CONFIGURAR!W149="","",CONFIGURAR!W149)))</f>
        <v/>
      </c>
    </row>
    <row r="156" spans="1:15" ht="18.75" customHeight="1" x14ac:dyDescent="0.2">
      <c r="A156" s="159" t="s">
        <v>94</v>
      </c>
      <c r="B156" s="83" t="s">
        <v>94</v>
      </c>
      <c r="C156" s="83" t="s">
        <v>94</v>
      </c>
      <c r="D156" s="83" t="s">
        <v>94</v>
      </c>
      <c r="J156" s="179"/>
      <c r="K156" s="180"/>
      <c r="L156" s="291" t="str">
        <f>IF(CONFIGURAR!$L$3=1,IF(CONFIGURAR!$M150="","",IF(CONFIGURAR!$AH150=TRUE,"",CONFIGURAR!M150)),IF(CONFIGURAR!$T150="","",CONFIGURAR!T150))</f>
        <v/>
      </c>
      <c r="M156" s="292" t="str">
        <f>IF(CONFIGURAR!$L$3=1,IF(CONFIGURAR!$M150="","",IF(CONFIGURAR!$AH150=TRUE,"",IF(CONFIGURAR!N150="","",CONFIGURAR!N150))),IF(CONFIGURAR!$T150="","",IF(CONFIGURAR!U150="","",CONFIGURAR!U150)))</f>
        <v/>
      </c>
      <c r="N156" s="292" t="str">
        <f>IF(CONFIGURAR!$L$3=1,IF(CONFIGURAR!$M150="","",IF(CONFIGURAR!$AH150=TRUE,"",IF(CONFIGURAR!O150="","",CONFIGURAR!O150))),IF(CONFIGURAR!$T150="","",IF(CONFIGURAR!V150="","",CONFIGURAR!V150)))</f>
        <v/>
      </c>
      <c r="O156" s="292" t="str">
        <f>IF(CONFIGURAR!$L$3=1,IF(CONFIGURAR!$M150="","",IF(CONFIGURAR!$AH150=TRUE,"",IF(CONFIGURAR!P150="","",CONFIGURAR!P150))),IF(CONFIGURAR!$T150="","",IF(CONFIGURAR!W150="","",CONFIGURAR!W150)))</f>
        <v/>
      </c>
    </row>
    <row r="157" spans="1:15" ht="18.75" customHeight="1" x14ac:dyDescent="0.2">
      <c r="A157" s="159" t="s">
        <v>94</v>
      </c>
      <c r="B157" s="83" t="s">
        <v>94</v>
      </c>
      <c r="C157" s="83" t="s">
        <v>94</v>
      </c>
      <c r="D157" s="83" t="s">
        <v>94</v>
      </c>
      <c r="J157" s="179"/>
      <c r="K157" s="180"/>
      <c r="L157" s="291" t="str">
        <f>IF(CONFIGURAR!$L$3=1,IF(CONFIGURAR!$M151="","",IF(CONFIGURAR!$AH151=TRUE,"",CONFIGURAR!M151)),IF(CONFIGURAR!$T151="","",CONFIGURAR!T151))</f>
        <v/>
      </c>
      <c r="M157" s="292" t="str">
        <f>IF(CONFIGURAR!$L$3=1,IF(CONFIGURAR!$M151="","",IF(CONFIGURAR!$AH151=TRUE,"",IF(CONFIGURAR!N151="","",CONFIGURAR!N151))),IF(CONFIGURAR!$T151="","",IF(CONFIGURAR!U151="","",CONFIGURAR!U151)))</f>
        <v/>
      </c>
      <c r="N157" s="292" t="str">
        <f>IF(CONFIGURAR!$L$3=1,IF(CONFIGURAR!$M151="","",IF(CONFIGURAR!$AH151=TRUE,"",IF(CONFIGURAR!O151="","",CONFIGURAR!O151))),IF(CONFIGURAR!$T151="","",IF(CONFIGURAR!V151="","",CONFIGURAR!V151)))</f>
        <v/>
      </c>
      <c r="O157" s="292" t="str">
        <f>IF(CONFIGURAR!$L$3=1,IF(CONFIGURAR!$M151="","",IF(CONFIGURAR!$AH151=TRUE,"",IF(CONFIGURAR!P151="","",CONFIGURAR!P151))),IF(CONFIGURAR!$T151="","",IF(CONFIGURAR!W151="","",CONFIGURAR!W151)))</f>
        <v/>
      </c>
    </row>
    <row r="158" spans="1:15" ht="18.75" customHeight="1" x14ac:dyDescent="0.2">
      <c r="A158" s="159" t="s">
        <v>94</v>
      </c>
      <c r="B158" s="83" t="s">
        <v>94</v>
      </c>
      <c r="C158" s="83" t="s">
        <v>94</v>
      </c>
      <c r="D158" s="83" t="s">
        <v>94</v>
      </c>
      <c r="J158" s="179"/>
      <c r="K158" s="180"/>
      <c r="L158" s="291" t="str">
        <f>IF(CONFIGURAR!$L$3=1,IF(CONFIGURAR!$M152="","",IF(CONFIGURAR!$AH152=TRUE,"",CONFIGURAR!M152)),IF(CONFIGURAR!$T152="","",CONFIGURAR!T152))</f>
        <v/>
      </c>
      <c r="M158" s="292" t="str">
        <f>IF(CONFIGURAR!$L$3=1,IF(CONFIGURAR!$M152="","",IF(CONFIGURAR!$AH152=TRUE,"",IF(CONFIGURAR!N152="","",CONFIGURAR!N152))),IF(CONFIGURAR!$T152="","",IF(CONFIGURAR!U152="","",CONFIGURAR!U152)))</f>
        <v/>
      </c>
      <c r="N158" s="292" t="str">
        <f>IF(CONFIGURAR!$L$3=1,IF(CONFIGURAR!$M152="","",IF(CONFIGURAR!$AH152=TRUE,"",IF(CONFIGURAR!O152="","",CONFIGURAR!O152))),IF(CONFIGURAR!$T152="","",IF(CONFIGURAR!V152="","",CONFIGURAR!V152)))</f>
        <v/>
      </c>
      <c r="O158" s="292" t="str">
        <f>IF(CONFIGURAR!$L$3=1,IF(CONFIGURAR!$M152="","",IF(CONFIGURAR!$AH152=TRUE,"",IF(CONFIGURAR!P152="","",CONFIGURAR!P152))),IF(CONFIGURAR!$T152="","",IF(CONFIGURAR!W152="","",CONFIGURAR!W152)))</f>
        <v/>
      </c>
    </row>
    <row r="159" spans="1:15" ht="18.75" customHeight="1" x14ac:dyDescent="0.2">
      <c r="A159" s="159" t="s">
        <v>94</v>
      </c>
      <c r="B159" s="83" t="s">
        <v>94</v>
      </c>
      <c r="C159" s="83" t="s">
        <v>94</v>
      </c>
      <c r="D159" s="83" t="s">
        <v>94</v>
      </c>
      <c r="J159" s="179"/>
      <c r="K159" s="180"/>
      <c r="L159" s="291" t="str">
        <f>IF(CONFIGURAR!$L$3=1,IF(CONFIGURAR!$M153="","",IF(CONFIGURAR!$AH153=TRUE,"",CONFIGURAR!M153)),IF(CONFIGURAR!$T153="","",CONFIGURAR!T153))</f>
        <v/>
      </c>
      <c r="M159" s="292" t="str">
        <f>IF(CONFIGURAR!$L$3=1,IF(CONFIGURAR!$M153="","",IF(CONFIGURAR!$AH153=TRUE,"",IF(CONFIGURAR!N153="","",CONFIGURAR!N153))),IF(CONFIGURAR!$T153="","",IF(CONFIGURAR!U153="","",CONFIGURAR!U153)))</f>
        <v/>
      </c>
      <c r="N159" s="292" t="str">
        <f>IF(CONFIGURAR!$L$3=1,IF(CONFIGURAR!$M153="","",IF(CONFIGURAR!$AH153=TRUE,"",IF(CONFIGURAR!O153="","",CONFIGURAR!O153))),IF(CONFIGURAR!$T153="","",IF(CONFIGURAR!V153="","",CONFIGURAR!V153)))</f>
        <v/>
      </c>
      <c r="O159" s="292" t="str">
        <f>IF(CONFIGURAR!$L$3=1,IF(CONFIGURAR!$M153="","",IF(CONFIGURAR!$AH153=TRUE,"",IF(CONFIGURAR!P153="","",CONFIGURAR!P153))),IF(CONFIGURAR!$T153="","",IF(CONFIGURAR!W153="","",CONFIGURAR!W153)))</f>
        <v/>
      </c>
    </row>
    <row r="160" spans="1:15" ht="18.75" customHeight="1" x14ac:dyDescent="0.2">
      <c r="A160" s="159" t="s">
        <v>94</v>
      </c>
      <c r="B160" s="83" t="s">
        <v>94</v>
      </c>
      <c r="C160" s="83" t="s">
        <v>94</v>
      </c>
      <c r="D160" s="83" t="s">
        <v>94</v>
      </c>
      <c r="J160" s="179"/>
      <c r="K160" s="180"/>
      <c r="L160" s="291" t="str">
        <f>IF(CONFIGURAR!$L$3=1,IF(CONFIGURAR!$M154="","",IF(CONFIGURAR!$AH154=TRUE,"",CONFIGURAR!M154)),IF(CONFIGURAR!$T154="","",CONFIGURAR!T154))</f>
        <v/>
      </c>
      <c r="M160" s="292" t="str">
        <f>IF(CONFIGURAR!$L$3=1,IF(CONFIGURAR!$M154="","",IF(CONFIGURAR!$AH154=TRUE,"",IF(CONFIGURAR!N154="","",CONFIGURAR!N154))),IF(CONFIGURAR!$T154="","",IF(CONFIGURAR!U154="","",CONFIGURAR!U154)))</f>
        <v/>
      </c>
      <c r="N160" s="292" t="str">
        <f>IF(CONFIGURAR!$L$3=1,IF(CONFIGURAR!$M154="","",IF(CONFIGURAR!$AH154=TRUE,"",IF(CONFIGURAR!O154="","",CONFIGURAR!O154))),IF(CONFIGURAR!$T154="","",IF(CONFIGURAR!V154="","",CONFIGURAR!V154)))</f>
        <v/>
      </c>
      <c r="O160" s="292" t="str">
        <f>IF(CONFIGURAR!$L$3=1,IF(CONFIGURAR!$M154="","",IF(CONFIGURAR!$AH154=TRUE,"",IF(CONFIGURAR!P154="","",CONFIGURAR!P154))),IF(CONFIGURAR!$T154="","",IF(CONFIGURAR!W154="","",CONFIGURAR!W154)))</f>
        <v/>
      </c>
    </row>
    <row r="161" spans="1:15" ht="18.75" customHeight="1" x14ac:dyDescent="0.2">
      <c r="A161" s="159" t="s">
        <v>94</v>
      </c>
      <c r="B161" s="83" t="s">
        <v>94</v>
      </c>
      <c r="C161" s="83" t="s">
        <v>94</v>
      </c>
      <c r="D161" s="83" t="s">
        <v>94</v>
      </c>
      <c r="J161" s="179"/>
      <c r="K161" s="180"/>
      <c r="L161" s="291" t="str">
        <f>IF(CONFIGURAR!$L$3=1,IF(CONFIGURAR!$M155="","",IF(CONFIGURAR!$AH155=TRUE,"",CONFIGURAR!M155)),IF(CONFIGURAR!$T155="","",CONFIGURAR!T155))</f>
        <v/>
      </c>
      <c r="M161" s="292" t="str">
        <f>IF(CONFIGURAR!$L$3=1,IF(CONFIGURAR!$M155="","",IF(CONFIGURAR!$AH155=TRUE,"",IF(CONFIGURAR!N155="","",CONFIGURAR!N155))),IF(CONFIGURAR!$T155="","",IF(CONFIGURAR!U155="","",CONFIGURAR!U155)))</f>
        <v/>
      </c>
      <c r="N161" s="292" t="str">
        <f>IF(CONFIGURAR!$L$3=1,IF(CONFIGURAR!$M155="","",IF(CONFIGURAR!$AH155=TRUE,"",IF(CONFIGURAR!O155="","",CONFIGURAR!O155))),IF(CONFIGURAR!$T155="","",IF(CONFIGURAR!V155="","",CONFIGURAR!V155)))</f>
        <v/>
      </c>
      <c r="O161" s="292" t="str">
        <f>IF(CONFIGURAR!$L$3=1,IF(CONFIGURAR!$M155="","",IF(CONFIGURAR!$AH155=TRUE,"",IF(CONFIGURAR!P155="","",CONFIGURAR!P155))),IF(CONFIGURAR!$T155="","",IF(CONFIGURAR!W155="","",CONFIGURAR!W155)))</f>
        <v/>
      </c>
    </row>
    <row r="162" spans="1:15" ht="18.75" customHeight="1" x14ac:dyDescent="0.2">
      <c r="A162" s="159" t="s">
        <v>94</v>
      </c>
      <c r="B162" s="83" t="s">
        <v>94</v>
      </c>
      <c r="C162" s="83" t="s">
        <v>94</v>
      </c>
      <c r="D162" s="83" t="s">
        <v>94</v>
      </c>
      <c r="J162" s="179"/>
      <c r="K162" s="180"/>
      <c r="L162" s="291" t="str">
        <f>IF(CONFIGURAR!$L$3=1,IF(CONFIGURAR!$M156="","",IF(CONFIGURAR!$AH156=TRUE,"",CONFIGURAR!M156)),IF(CONFIGURAR!$T156="","",CONFIGURAR!T156))</f>
        <v/>
      </c>
      <c r="M162" s="292" t="str">
        <f>IF(CONFIGURAR!$L$3=1,IF(CONFIGURAR!$M156="","",IF(CONFIGURAR!$AH156=TRUE,"",IF(CONFIGURAR!N156="","",CONFIGURAR!N156))),IF(CONFIGURAR!$T156="","",IF(CONFIGURAR!U156="","",CONFIGURAR!U156)))</f>
        <v/>
      </c>
      <c r="N162" s="292" t="str">
        <f>IF(CONFIGURAR!$L$3=1,IF(CONFIGURAR!$M156="","",IF(CONFIGURAR!$AH156=TRUE,"",IF(CONFIGURAR!O156="","",CONFIGURAR!O156))),IF(CONFIGURAR!$T156="","",IF(CONFIGURAR!V156="","",CONFIGURAR!V156)))</f>
        <v/>
      </c>
      <c r="O162" s="292" t="str">
        <f>IF(CONFIGURAR!$L$3=1,IF(CONFIGURAR!$M156="","",IF(CONFIGURAR!$AH156=TRUE,"",IF(CONFIGURAR!P156="","",CONFIGURAR!P156))),IF(CONFIGURAR!$T156="","",IF(CONFIGURAR!W156="","",CONFIGURAR!W156)))</f>
        <v/>
      </c>
    </row>
    <row r="163" spans="1:15" ht="18.75" customHeight="1" x14ac:dyDescent="0.2">
      <c r="A163" s="159" t="s">
        <v>94</v>
      </c>
      <c r="B163" s="83" t="s">
        <v>94</v>
      </c>
      <c r="C163" s="83" t="s">
        <v>94</v>
      </c>
      <c r="D163" s="83" t="s">
        <v>94</v>
      </c>
      <c r="J163" s="179"/>
      <c r="K163" s="180"/>
      <c r="L163" s="291" t="str">
        <f>IF(CONFIGURAR!$L$3=1,IF(CONFIGURAR!$M157="","",IF(CONFIGURAR!$AH157=TRUE,"",CONFIGURAR!M157)),IF(CONFIGURAR!$T157="","",CONFIGURAR!T157))</f>
        <v/>
      </c>
      <c r="M163" s="292" t="str">
        <f>IF(CONFIGURAR!$L$3=1,IF(CONFIGURAR!$M157="","",IF(CONFIGURAR!$AH157=TRUE,"",IF(CONFIGURAR!N157="","",CONFIGURAR!N157))),IF(CONFIGURAR!$T157="","",IF(CONFIGURAR!U157="","",CONFIGURAR!U157)))</f>
        <v/>
      </c>
      <c r="N163" s="292" t="str">
        <f>IF(CONFIGURAR!$L$3=1,IF(CONFIGURAR!$M157="","",IF(CONFIGURAR!$AH157=TRUE,"",IF(CONFIGURAR!O157="","",CONFIGURAR!O157))),IF(CONFIGURAR!$T157="","",IF(CONFIGURAR!V157="","",CONFIGURAR!V157)))</f>
        <v/>
      </c>
      <c r="O163" s="292" t="str">
        <f>IF(CONFIGURAR!$L$3=1,IF(CONFIGURAR!$M157="","",IF(CONFIGURAR!$AH157=TRUE,"",IF(CONFIGURAR!P157="","",CONFIGURAR!P157))),IF(CONFIGURAR!$T157="","",IF(CONFIGURAR!W157="","",CONFIGURAR!W157)))</f>
        <v/>
      </c>
    </row>
    <row r="164" spans="1:15" ht="18.75" customHeight="1" x14ac:dyDescent="0.2">
      <c r="A164" s="159" t="s">
        <v>94</v>
      </c>
      <c r="B164" s="83" t="s">
        <v>94</v>
      </c>
      <c r="C164" s="83" t="s">
        <v>94</v>
      </c>
      <c r="D164" s="83" t="s">
        <v>94</v>
      </c>
      <c r="J164" s="179"/>
      <c r="K164" s="180"/>
      <c r="L164" s="291" t="str">
        <f>IF(CONFIGURAR!$L$3=1,IF(CONFIGURAR!$M158="","",IF(CONFIGURAR!$AH158=TRUE,"",CONFIGURAR!M158)),IF(CONFIGURAR!$T158="","",CONFIGURAR!T158))</f>
        <v/>
      </c>
      <c r="M164" s="292" t="str">
        <f>IF(CONFIGURAR!$L$3=1,IF(CONFIGURAR!$M158="","",IF(CONFIGURAR!$AH158=TRUE,"",IF(CONFIGURAR!N158="","",CONFIGURAR!N158))),IF(CONFIGURAR!$T158="","",IF(CONFIGURAR!U158="","",CONFIGURAR!U158)))</f>
        <v/>
      </c>
      <c r="N164" s="292" t="str">
        <f>IF(CONFIGURAR!$L$3=1,IF(CONFIGURAR!$M158="","",IF(CONFIGURAR!$AH158=TRUE,"",IF(CONFIGURAR!O158="","",CONFIGURAR!O158))),IF(CONFIGURAR!$T158="","",IF(CONFIGURAR!V158="","",CONFIGURAR!V158)))</f>
        <v/>
      </c>
      <c r="O164" s="292" t="str">
        <f>IF(CONFIGURAR!$L$3=1,IF(CONFIGURAR!$M158="","",IF(CONFIGURAR!$AH158=TRUE,"",IF(CONFIGURAR!P158="","",CONFIGURAR!P158))),IF(CONFIGURAR!$T158="","",IF(CONFIGURAR!W158="","",CONFIGURAR!W158)))</f>
        <v/>
      </c>
    </row>
    <row r="165" spans="1:15" ht="18.75" customHeight="1" x14ac:dyDescent="0.2">
      <c r="A165" s="159" t="s">
        <v>94</v>
      </c>
      <c r="B165" s="83" t="s">
        <v>94</v>
      </c>
      <c r="C165" s="83" t="s">
        <v>94</v>
      </c>
      <c r="D165" s="83" t="s">
        <v>94</v>
      </c>
      <c r="J165" s="179"/>
      <c r="K165" s="180"/>
      <c r="L165" s="291" t="str">
        <f>IF(CONFIGURAR!$L$3=1,IF(CONFIGURAR!$M159="","",IF(CONFIGURAR!$AH159=TRUE,"",CONFIGURAR!M159)),IF(CONFIGURAR!$T159="","",CONFIGURAR!T159))</f>
        <v/>
      </c>
      <c r="M165" s="292" t="str">
        <f>IF(CONFIGURAR!$L$3=1,IF(CONFIGURAR!$M159="","",IF(CONFIGURAR!$AH159=TRUE,"",IF(CONFIGURAR!N159="","",CONFIGURAR!N159))),IF(CONFIGURAR!$T159="","",IF(CONFIGURAR!U159="","",CONFIGURAR!U159)))</f>
        <v/>
      </c>
      <c r="N165" s="292" t="str">
        <f>IF(CONFIGURAR!$L$3=1,IF(CONFIGURAR!$M159="","",IF(CONFIGURAR!$AH159=TRUE,"",IF(CONFIGURAR!O159="","",CONFIGURAR!O159))),IF(CONFIGURAR!$T159="","",IF(CONFIGURAR!V159="","",CONFIGURAR!V159)))</f>
        <v/>
      </c>
      <c r="O165" s="292" t="str">
        <f>IF(CONFIGURAR!$L$3=1,IF(CONFIGURAR!$M159="","",IF(CONFIGURAR!$AH159=TRUE,"",IF(CONFIGURAR!P159="","",CONFIGURAR!P159))),IF(CONFIGURAR!$T159="","",IF(CONFIGURAR!W159="","",CONFIGURAR!W159)))</f>
        <v/>
      </c>
    </row>
    <row r="166" spans="1:15" ht="18.75" customHeight="1" x14ac:dyDescent="0.2">
      <c r="A166" s="159" t="s">
        <v>94</v>
      </c>
      <c r="B166" s="83" t="s">
        <v>94</v>
      </c>
      <c r="C166" s="83" t="s">
        <v>94</v>
      </c>
      <c r="D166" s="83" t="s">
        <v>94</v>
      </c>
      <c r="J166" s="179"/>
      <c r="K166" s="180"/>
      <c r="L166" s="291" t="str">
        <f>IF(CONFIGURAR!$L$3=1,IF(CONFIGURAR!$M160="","",IF(CONFIGURAR!$AH160=TRUE,"",CONFIGURAR!M160)),IF(CONFIGURAR!$T160="","",CONFIGURAR!T160))</f>
        <v/>
      </c>
      <c r="M166" s="292" t="str">
        <f>IF(CONFIGURAR!$L$3=1,IF(CONFIGURAR!$M160="","",IF(CONFIGURAR!$AH160=TRUE,"",IF(CONFIGURAR!N160="","",CONFIGURAR!N160))),IF(CONFIGURAR!$T160="","",IF(CONFIGURAR!U160="","",CONFIGURAR!U160)))</f>
        <v/>
      </c>
      <c r="N166" s="292" t="str">
        <f>IF(CONFIGURAR!$L$3=1,IF(CONFIGURAR!$M160="","",IF(CONFIGURAR!$AH160=TRUE,"",IF(CONFIGURAR!O160="","",CONFIGURAR!O160))),IF(CONFIGURAR!$T160="","",IF(CONFIGURAR!V160="","",CONFIGURAR!V160)))</f>
        <v/>
      </c>
      <c r="O166" s="292" t="str">
        <f>IF(CONFIGURAR!$L$3=1,IF(CONFIGURAR!$M160="","",IF(CONFIGURAR!$AH160=TRUE,"",IF(CONFIGURAR!P160="","",CONFIGURAR!P160))),IF(CONFIGURAR!$T160="","",IF(CONFIGURAR!W160="","",CONFIGURAR!W160)))</f>
        <v/>
      </c>
    </row>
    <row r="167" spans="1:15" ht="18.75" customHeight="1" x14ac:dyDescent="0.2">
      <c r="A167" s="159" t="s">
        <v>94</v>
      </c>
      <c r="B167" s="83" t="s">
        <v>94</v>
      </c>
      <c r="C167" s="83" t="s">
        <v>94</v>
      </c>
      <c r="D167" s="83" t="s">
        <v>94</v>
      </c>
      <c r="J167" s="179"/>
      <c r="K167" s="180"/>
      <c r="L167" s="291" t="str">
        <f>IF(CONFIGURAR!$L$3=1,IF(CONFIGURAR!$M161="","",IF(CONFIGURAR!$AH161=TRUE,"",CONFIGURAR!M161)),IF(CONFIGURAR!$T161="","",CONFIGURAR!T161))</f>
        <v/>
      </c>
      <c r="M167" s="292" t="str">
        <f>IF(CONFIGURAR!$L$3=1,IF(CONFIGURAR!$M161="","",IF(CONFIGURAR!$AH161=TRUE,"",IF(CONFIGURAR!N161="","",CONFIGURAR!N161))),IF(CONFIGURAR!$T161="","",IF(CONFIGURAR!U161="","",CONFIGURAR!U161)))</f>
        <v/>
      </c>
      <c r="N167" s="292" t="str">
        <f>IF(CONFIGURAR!$L$3=1,IF(CONFIGURAR!$M161="","",IF(CONFIGURAR!$AH161=TRUE,"",IF(CONFIGURAR!O161="","",CONFIGURAR!O161))),IF(CONFIGURAR!$T161="","",IF(CONFIGURAR!V161="","",CONFIGURAR!V161)))</f>
        <v/>
      </c>
      <c r="O167" s="292" t="str">
        <f>IF(CONFIGURAR!$L$3=1,IF(CONFIGURAR!$M161="","",IF(CONFIGURAR!$AH161=TRUE,"",IF(CONFIGURAR!P161="","",CONFIGURAR!P161))),IF(CONFIGURAR!$T161="","",IF(CONFIGURAR!W161="","",CONFIGURAR!W161)))</f>
        <v/>
      </c>
    </row>
    <row r="168" spans="1:15" ht="18.75" customHeight="1" x14ac:dyDescent="0.2">
      <c r="A168" s="159" t="s">
        <v>94</v>
      </c>
      <c r="B168" s="83" t="s">
        <v>94</v>
      </c>
      <c r="C168" s="83" t="s">
        <v>94</v>
      </c>
      <c r="D168" s="83" t="s">
        <v>94</v>
      </c>
      <c r="J168" s="179"/>
      <c r="K168" s="180"/>
      <c r="L168" s="291" t="str">
        <f>IF(CONFIGURAR!$L$3=1,IF(CONFIGURAR!$M162="","",IF(CONFIGURAR!$AH162=TRUE,"",CONFIGURAR!M162)),IF(CONFIGURAR!$T162="","",CONFIGURAR!T162))</f>
        <v/>
      </c>
      <c r="M168" s="292" t="str">
        <f>IF(CONFIGURAR!$L$3=1,IF(CONFIGURAR!$M162="","",IF(CONFIGURAR!$AH162=TRUE,"",IF(CONFIGURAR!N162="","",CONFIGURAR!N162))),IF(CONFIGURAR!$T162="","",IF(CONFIGURAR!U162="","",CONFIGURAR!U162)))</f>
        <v/>
      </c>
      <c r="N168" s="292" t="str">
        <f>IF(CONFIGURAR!$L$3=1,IF(CONFIGURAR!$M162="","",IF(CONFIGURAR!$AH162=TRUE,"",IF(CONFIGURAR!O162="","",CONFIGURAR!O162))),IF(CONFIGURAR!$T162="","",IF(CONFIGURAR!V162="","",CONFIGURAR!V162)))</f>
        <v/>
      </c>
      <c r="O168" s="292" t="str">
        <f>IF(CONFIGURAR!$L$3=1,IF(CONFIGURAR!$M162="","",IF(CONFIGURAR!$AH162=TRUE,"",IF(CONFIGURAR!P162="","",CONFIGURAR!P162))),IF(CONFIGURAR!$T162="","",IF(CONFIGURAR!W162="","",CONFIGURAR!W162)))</f>
        <v/>
      </c>
    </row>
    <row r="169" spans="1:15" ht="18.75" customHeight="1" x14ac:dyDescent="0.2">
      <c r="A169" s="159" t="s">
        <v>94</v>
      </c>
      <c r="B169" s="83" t="s">
        <v>94</v>
      </c>
      <c r="C169" s="83" t="s">
        <v>94</v>
      </c>
      <c r="D169" s="83" t="s">
        <v>94</v>
      </c>
      <c r="J169" s="179"/>
      <c r="K169" s="180"/>
      <c r="L169" s="291" t="str">
        <f>IF(CONFIGURAR!$L$3=1,IF(CONFIGURAR!$M163="","",IF(CONFIGURAR!$AH163=TRUE,"",CONFIGURAR!M163)),IF(CONFIGURAR!$T163="","",CONFIGURAR!T163))</f>
        <v/>
      </c>
      <c r="M169" s="292" t="str">
        <f>IF(CONFIGURAR!$L$3=1,IF(CONFIGURAR!$M163="","",IF(CONFIGURAR!$AH163=TRUE,"",IF(CONFIGURAR!N163="","",CONFIGURAR!N163))),IF(CONFIGURAR!$T163="","",IF(CONFIGURAR!U163="","",CONFIGURAR!U163)))</f>
        <v/>
      </c>
      <c r="N169" s="292" t="str">
        <f>IF(CONFIGURAR!$L$3=1,IF(CONFIGURAR!$M163="","",IF(CONFIGURAR!$AH163=TRUE,"",IF(CONFIGURAR!O163="","",CONFIGURAR!O163))),IF(CONFIGURAR!$T163="","",IF(CONFIGURAR!V163="","",CONFIGURAR!V163)))</f>
        <v/>
      </c>
      <c r="O169" s="292" t="str">
        <f>IF(CONFIGURAR!$L$3=1,IF(CONFIGURAR!$M163="","",IF(CONFIGURAR!$AH163=TRUE,"",IF(CONFIGURAR!P163="","",CONFIGURAR!P163))),IF(CONFIGURAR!$T163="","",IF(CONFIGURAR!W163="","",CONFIGURAR!W163)))</f>
        <v/>
      </c>
    </row>
    <row r="170" spans="1:15" ht="18.75" customHeight="1" x14ac:dyDescent="0.2">
      <c r="A170" s="159" t="s">
        <v>94</v>
      </c>
      <c r="B170" s="83" t="s">
        <v>94</v>
      </c>
      <c r="C170" s="83" t="s">
        <v>94</v>
      </c>
      <c r="D170" s="83" t="s">
        <v>94</v>
      </c>
      <c r="J170" s="179"/>
      <c r="K170" s="180"/>
      <c r="L170" s="291" t="str">
        <f>IF(CONFIGURAR!$L$3=1,IF(CONFIGURAR!$M164="","",IF(CONFIGURAR!$AH164=TRUE,"",CONFIGURAR!M164)),IF(CONFIGURAR!$T164="","",CONFIGURAR!T164))</f>
        <v/>
      </c>
      <c r="M170" s="292" t="str">
        <f>IF(CONFIGURAR!$L$3=1,IF(CONFIGURAR!$M164="","",IF(CONFIGURAR!$AH164=TRUE,"",IF(CONFIGURAR!N164="","",CONFIGURAR!N164))),IF(CONFIGURAR!$T164="","",IF(CONFIGURAR!U164="","",CONFIGURAR!U164)))</f>
        <v/>
      </c>
      <c r="N170" s="292" t="str">
        <f>IF(CONFIGURAR!$L$3=1,IF(CONFIGURAR!$M164="","",IF(CONFIGURAR!$AH164=TRUE,"",IF(CONFIGURAR!O164="","",CONFIGURAR!O164))),IF(CONFIGURAR!$T164="","",IF(CONFIGURAR!V164="","",CONFIGURAR!V164)))</f>
        <v/>
      </c>
      <c r="O170" s="292" t="str">
        <f>IF(CONFIGURAR!$L$3=1,IF(CONFIGURAR!$M164="","",IF(CONFIGURAR!$AH164=TRUE,"",IF(CONFIGURAR!P164="","",CONFIGURAR!P164))),IF(CONFIGURAR!$T164="","",IF(CONFIGURAR!W164="","",CONFIGURAR!W164)))</f>
        <v/>
      </c>
    </row>
    <row r="171" spans="1:15" ht="18.75" customHeight="1" x14ac:dyDescent="0.2">
      <c r="A171" s="159" t="s">
        <v>94</v>
      </c>
      <c r="B171" s="83" t="s">
        <v>94</v>
      </c>
      <c r="C171" s="83" t="s">
        <v>94</v>
      </c>
      <c r="D171" s="83" t="s">
        <v>94</v>
      </c>
      <c r="J171" s="179"/>
      <c r="K171" s="180"/>
      <c r="L171" s="291" t="str">
        <f>IF(CONFIGURAR!$L$3=1,IF(CONFIGURAR!$M165="","",IF(CONFIGURAR!$AH165=TRUE,"",CONFIGURAR!M165)),IF(CONFIGURAR!$T165="","",CONFIGURAR!T165))</f>
        <v/>
      </c>
      <c r="M171" s="292" t="str">
        <f>IF(CONFIGURAR!$L$3=1,IF(CONFIGURAR!$M165="","",IF(CONFIGURAR!$AH165=TRUE,"",IF(CONFIGURAR!N165="","",CONFIGURAR!N165))),IF(CONFIGURAR!$T165="","",IF(CONFIGURAR!U165="","",CONFIGURAR!U165)))</f>
        <v/>
      </c>
      <c r="N171" s="292" t="str">
        <f>IF(CONFIGURAR!$L$3=1,IF(CONFIGURAR!$M165="","",IF(CONFIGURAR!$AH165=TRUE,"",IF(CONFIGURAR!O165="","",CONFIGURAR!O165))),IF(CONFIGURAR!$T165="","",IF(CONFIGURAR!V165="","",CONFIGURAR!V165)))</f>
        <v/>
      </c>
      <c r="O171" s="292" t="str">
        <f>IF(CONFIGURAR!$L$3=1,IF(CONFIGURAR!$M165="","",IF(CONFIGURAR!$AH165=TRUE,"",IF(CONFIGURAR!P165="","",CONFIGURAR!P165))),IF(CONFIGURAR!$T165="","",IF(CONFIGURAR!W165="","",CONFIGURAR!W165)))</f>
        <v/>
      </c>
    </row>
    <row r="172" spans="1:15" ht="18.75" customHeight="1" x14ac:dyDescent="0.2">
      <c r="A172" s="159" t="s">
        <v>94</v>
      </c>
      <c r="B172" s="83" t="s">
        <v>94</v>
      </c>
      <c r="C172" s="83" t="s">
        <v>94</v>
      </c>
      <c r="D172" s="83" t="s">
        <v>94</v>
      </c>
      <c r="J172" s="179"/>
      <c r="K172" s="180"/>
      <c r="L172" s="291" t="str">
        <f>IF(CONFIGURAR!$L$3=1,IF(CONFIGURAR!$M166="","",IF(CONFIGURAR!$AH166=TRUE,"",CONFIGURAR!M166)),IF(CONFIGURAR!$T166="","",CONFIGURAR!T166))</f>
        <v/>
      </c>
      <c r="M172" s="292" t="str">
        <f>IF(CONFIGURAR!$L$3=1,IF(CONFIGURAR!$M166="","",IF(CONFIGURAR!$AH166=TRUE,"",IF(CONFIGURAR!N166="","",CONFIGURAR!N166))),IF(CONFIGURAR!$T166="","",IF(CONFIGURAR!U166="","",CONFIGURAR!U166)))</f>
        <v/>
      </c>
      <c r="N172" s="292" t="str">
        <f>IF(CONFIGURAR!$L$3=1,IF(CONFIGURAR!$M166="","",IF(CONFIGURAR!$AH166=TRUE,"",IF(CONFIGURAR!O166="","",CONFIGURAR!O166))),IF(CONFIGURAR!$T166="","",IF(CONFIGURAR!V166="","",CONFIGURAR!V166)))</f>
        <v/>
      </c>
      <c r="O172" s="292" t="str">
        <f>IF(CONFIGURAR!$L$3=1,IF(CONFIGURAR!$M166="","",IF(CONFIGURAR!$AH166=TRUE,"",IF(CONFIGURAR!P166="","",CONFIGURAR!P166))),IF(CONFIGURAR!$T166="","",IF(CONFIGURAR!W166="","",CONFIGURAR!W166)))</f>
        <v/>
      </c>
    </row>
    <row r="173" spans="1:15" ht="18.75" customHeight="1" x14ac:dyDescent="0.2">
      <c r="A173" s="159" t="s">
        <v>94</v>
      </c>
      <c r="B173" s="83" t="s">
        <v>94</v>
      </c>
      <c r="C173" s="83" t="s">
        <v>94</v>
      </c>
      <c r="D173" s="83" t="s">
        <v>94</v>
      </c>
      <c r="J173" s="179"/>
      <c r="K173" s="180"/>
      <c r="L173" s="291" t="str">
        <f>IF(CONFIGURAR!$L$3=1,IF(CONFIGURAR!$M167="","",IF(CONFIGURAR!$AH167=TRUE,"",CONFIGURAR!M167)),IF(CONFIGURAR!$T167="","",CONFIGURAR!T167))</f>
        <v/>
      </c>
      <c r="M173" s="292" t="str">
        <f>IF(CONFIGURAR!$L$3=1,IF(CONFIGURAR!$M167="","",IF(CONFIGURAR!$AH167=TRUE,"",IF(CONFIGURAR!N167="","",CONFIGURAR!N167))),IF(CONFIGURAR!$T167="","",IF(CONFIGURAR!U167="","",CONFIGURAR!U167)))</f>
        <v/>
      </c>
      <c r="N173" s="292" t="str">
        <f>IF(CONFIGURAR!$L$3=1,IF(CONFIGURAR!$M167="","",IF(CONFIGURAR!$AH167=TRUE,"",IF(CONFIGURAR!O167="","",CONFIGURAR!O167))),IF(CONFIGURAR!$T167="","",IF(CONFIGURAR!V167="","",CONFIGURAR!V167)))</f>
        <v/>
      </c>
      <c r="O173" s="292" t="str">
        <f>IF(CONFIGURAR!$L$3=1,IF(CONFIGURAR!$M167="","",IF(CONFIGURAR!$AH167=TRUE,"",IF(CONFIGURAR!P167="","",CONFIGURAR!P167))),IF(CONFIGURAR!$T167="","",IF(CONFIGURAR!W167="","",CONFIGURAR!W167)))</f>
        <v/>
      </c>
    </row>
    <row r="174" spans="1:15" ht="18.75" customHeight="1" x14ac:dyDescent="0.2">
      <c r="A174" s="159" t="s">
        <v>94</v>
      </c>
      <c r="B174" s="83" t="s">
        <v>94</v>
      </c>
      <c r="C174" s="83" t="s">
        <v>94</v>
      </c>
      <c r="D174" s="83" t="s">
        <v>94</v>
      </c>
      <c r="J174" s="179"/>
      <c r="K174" s="180"/>
      <c r="L174" s="291" t="str">
        <f>IF(CONFIGURAR!$L$3=1,IF(CONFIGURAR!$M168="","",IF(CONFIGURAR!$AH168=TRUE,"",CONFIGURAR!M168)),IF(CONFIGURAR!$T168="","",CONFIGURAR!T168))</f>
        <v/>
      </c>
      <c r="M174" s="292" t="str">
        <f>IF(CONFIGURAR!$L$3=1,IF(CONFIGURAR!$M168="","",IF(CONFIGURAR!$AH168=TRUE,"",IF(CONFIGURAR!N168="","",CONFIGURAR!N168))),IF(CONFIGURAR!$T168="","",IF(CONFIGURAR!U168="","",CONFIGURAR!U168)))</f>
        <v/>
      </c>
      <c r="N174" s="292" t="str">
        <f>IF(CONFIGURAR!$L$3=1,IF(CONFIGURAR!$M168="","",IF(CONFIGURAR!$AH168=TRUE,"",IF(CONFIGURAR!O168="","",CONFIGURAR!O168))),IF(CONFIGURAR!$T168="","",IF(CONFIGURAR!V168="","",CONFIGURAR!V168)))</f>
        <v/>
      </c>
      <c r="O174" s="292" t="str">
        <f>IF(CONFIGURAR!$L$3=1,IF(CONFIGURAR!$M168="","",IF(CONFIGURAR!$AH168=TRUE,"",IF(CONFIGURAR!P168="","",CONFIGURAR!P168))),IF(CONFIGURAR!$T168="","",IF(CONFIGURAR!W168="","",CONFIGURAR!W168)))</f>
        <v/>
      </c>
    </row>
    <row r="175" spans="1:15" ht="18.75" customHeight="1" x14ac:dyDescent="0.2">
      <c r="A175" s="159" t="s">
        <v>94</v>
      </c>
      <c r="B175" s="83" t="s">
        <v>94</v>
      </c>
      <c r="C175" s="83" t="s">
        <v>94</v>
      </c>
      <c r="D175" s="83" t="s">
        <v>94</v>
      </c>
      <c r="J175" s="179"/>
      <c r="K175" s="180"/>
      <c r="L175" s="291" t="str">
        <f>IF(CONFIGURAR!$L$3=1,IF(CONFIGURAR!$M169="","",IF(CONFIGURAR!$AH169=TRUE,"",CONFIGURAR!M169)),IF(CONFIGURAR!$T169="","",CONFIGURAR!T169))</f>
        <v/>
      </c>
      <c r="M175" s="292" t="str">
        <f>IF(CONFIGURAR!$L$3=1,IF(CONFIGURAR!$M169="","",IF(CONFIGURAR!$AH169=TRUE,"",IF(CONFIGURAR!N169="","",CONFIGURAR!N169))),IF(CONFIGURAR!$T169="","",IF(CONFIGURAR!U169="","",CONFIGURAR!U169)))</f>
        <v/>
      </c>
      <c r="N175" s="292" t="str">
        <f>IF(CONFIGURAR!$L$3=1,IF(CONFIGURAR!$M169="","",IF(CONFIGURAR!$AH169=TRUE,"",IF(CONFIGURAR!O169="","",CONFIGURAR!O169))),IF(CONFIGURAR!$T169="","",IF(CONFIGURAR!V169="","",CONFIGURAR!V169)))</f>
        <v/>
      </c>
      <c r="O175" s="292" t="str">
        <f>IF(CONFIGURAR!$L$3=1,IF(CONFIGURAR!$M169="","",IF(CONFIGURAR!$AH169=TRUE,"",IF(CONFIGURAR!P169="","",CONFIGURAR!P169))),IF(CONFIGURAR!$T169="","",IF(CONFIGURAR!W169="","",CONFIGURAR!W169)))</f>
        <v/>
      </c>
    </row>
    <row r="176" spans="1:15" ht="18.75" customHeight="1" x14ac:dyDescent="0.2">
      <c r="A176" s="159" t="s">
        <v>94</v>
      </c>
      <c r="B176" s="83" t="s">
        <v>94</v>
      </c>
      <c r="C176" s="83" t="s">
        <v>94</v>
      </c>
      <c r="D176" s="83" t="s">
        <v>94</v>
      </c>
      <c r="J176" s="179"/>
      <c r="K176" s="180"/>
      <c r="L176" s="291" t="str">
        <f>IF(CONFIGURAR!$L$3=1,IF(CONFIGURAR!$M170="","",IF(CONFIGURAR!$AH170=TRUE,"",CONFIGURAR!M170)),IF(CONFIGURAR!$T170="","",CONFIGURAR!T170))</f>
        <v/>
      </c>
      <c r="M176" s="292" t="str">
        <f>IF(CONFIGURAR!$L$3=1,IF(CONFIGURAR!$M170="","",IF(CONFIGURAR!$AH170=TRUE,"",IF(CONFIGURAR!N170="","",CONFIGURAR!N170))),IF(CONFIGURAR!$T170="","",IF(CONFIGURAR!U170="","",CONFIGURAR!U170)))</f>
        <v/>
      </c>
      <c r="N176" s="292" t="str">
        <f>IF(CONFIGURAR!$L$3=1,IF(CONFIGURAR!$M170="","",IF(CONFIGURAR!$AH170=TRUE,"",IF(CONFIGURAR!O170="","",CONFIGURAR!O170))),IF(CONFIGURAR!$T170="","",IF(CONFIGURAR!V170="","",CONFIGURAR!V170)))</f>
        <v/>
      </c>
      <c r="O176" s="292" t="str">
        <f>IF(CONFIGURAR!$L$3=1,IF(CONFIGURAR!$M170="","",IF(CONFIGURAR!$AH170=TRUE,"",IF(CONFIGURAR!P170="","",CONFIGURAR!P170))),IF(CONFIGURAR!$T170="","",IF(CONFIGURAR!W170="","",CONFIGURAR!W170)))</f>
        <v/>
      </c>
    </row>
    <row r="177" spans="1:15" ht="18.75" customHeight="1" x14ac:dyDescent="0.2">
      <c r="A177" s="159" t="s">
        <v>94</v>
      </c>
      <c r="B177" s="83" t="s">
        <v>94</v>
      </c>
      <c r="C177" s="83" t="s">
        <v>94</v>
      </c>
      <c r="D177" s="83" t="s">
        <v>94</v>
      </c>
      <c r="J177" s="179"/>
      <c r="K177" s="180"/>
      <c r="L177" s="291" t="str">
        <f>IF(CONFIGURAR!$L$3=1,IF(CONFIGURAR!$M171="","",IF(CONFIGURAR!$AH171=TRUE,"",CONFIGURAR!M171)),IF(CONFIGURAR!$T171="","",CONFIGURAR!T171))</f>
        <v/>
      </c>
      <c r="M177" s="292" t="str">
        <f>IF(CONFIGURAR!$L$3=1,IF(CONFIGURAR!$M171="","",IF(CONFIGURAR!$AH171=TRUE,"",IF(CONFIGURAR!N171="","",CONFIGURAR!N171))),IF(CONFIGURAR!$T171="","",IF(CONFIGURAR!U171="","",CONFIGURAR!U171)))</f>
        <v/>
      </c>
      <c r="N177" s="292" t="str">
        <f>IF(CONFIGURAR!$L$3=1,IF(CONFIGURAR!$M171="","",IF(CONFIGURAR!$AH171=TRUE,"",IF(CONFIGURAR!O171="","",CONFIGURAR!O171))),IF(CONFIGURAR!$T171="","",IF(CONFIGURAR!V171="","",CONFIGURAR!V171)))</f>
        <v/>
      </c>
      <c r="O177" s="292" t="str">
        <f>IF(CONFIGURAR!$L$3=1,IF(CONFIGURAR!$M171="","",IF(CONFIGURAR!$AH171=TRUE,"",IF(CONFIGURAR!P171="","",CONFIGURAR!P171))),IF(CONFIGURAR!$T171="","",IF(CONFIGURAR!W171="","",CONFIGURAR!W171)))</f>
        <v/>
      </c>
    </row>
    <row r="178" spans="1:15" ht="18.75" customHeight="1" x14ac:dyDescent="0.2">
      <c r="A178" s="159" t="s">
        <v>94</v>
      </c>
      <c r="B178" s="83" t="s">
        <v>94</v>
      </c>
      <c r="C178" s="83" t="s">
        <v>94</v>
      </c>
      <c r="D178" s="83" t="s">
        <v>94</v>
      </c>
      <c r="J178" s="179"/>
      <c r="K178" s="180"/>
      <c r="L178" s="291" t="str">
        <f>IF(CONFIGURAR!$L$3=1,IF(CONFIGURAR!$M172="","",IF(CONFIGURAR!$AH172=TRUE,"",CONFIGURAR!M172)),IF(CONFIGURAR!$T172="","",CONFIGURAR!T172))</f>
        <v/>
      </c>
      <c r="M178" s="292" t="str">
        <f>IF(CONFIGURAR!$L$3=1,IF(CONFIGURAR!$M172="","",IF(CONFIGURAR!$AH172=TRUE,"",IF(CONFIGURAR!N172="","",CONFIGURAR!N172))),IF(CONFIGURAR!$T172="","",IF(CONFIGURAR!U172="","",CONFIGURAR!U172)))</f>
        <v/>
      </c>
      <c r="N178" s="292" t="str">
        <f>IF(CONFIGURAR!$L$3=1,IF(CONFIGURAR!$M172="","",IF(CONFIGURAR!$AH172=TRUE,"",IF(CONFIGURAR!O172="","",CONFIGURAR!O172))),IF(CONFIGURAR!$T172="","",IF(CONFIGURAR!V172="","",CONFIGURAR!V172)))</f>
        <v/>
      </c>
      <c r="O178" s="292" t="str">
        <f>IF(CONFIGURAR!$L$3=1,IF(CONFIGURAR!$M172="","",IF(CONFIGURAR!$AH172=TRUE,"",IF(CONFIGURAR!P172="","",CONFIGURAR!P172))),IF(CONFIGURAR!$T172="","",IF(CONFIGURAR!W172="","",CONFIGURAR!W172)))</f>
        <v/>
      </c>
    </row>
    <row r="179" spans="1:15" ht="18.75" customHeight="1" x14ac:dyDescent="0.2">
      <c r="A179" s="159" t="s">
        <v>94</v>
      </c>
      <c r="B179" s="83" t="s">
        <v>94</v>
      </c>
      <c r="C179" s="83" t="s">
        <v>94</v>
      </c>
      <c r="D179" s="83" t="s">
        <v>94</v>
      </c>
      <c r="J179" s="179"/>
      <c r="K179" s="180"/>
      <c r="L179" s="291" t="str">
        <f>IF(CONFIGURAR!$L$3=1,IF(CONFIGURAR!$M173="","",IF(CONFIGURAR!$AH173=TRUE,"",CONFIGURAR!M173)),IF(CONFIGURAR!$T173="","",CONFIGURAR!T173))</f>
        <v/>
      </c>
      <c r="M179" s="292" t="str">
        <f>IF(CONFIGURAR!$L$3=1,IF(CONFIGURAR!$M173="","",IF(CONFIGURAR!$AH173=TRUE,"",IF(CONFIGURAR!N173="","",CONFIGURAR!N173))),IF(CONFIGURAR!$T173="","",IF(CONFIGURAR!U173="","",CONFIGURAR!U173)))</f>
        <v/>
      </c>
      <c r="N179" s="292" t="str">
        <f>IF(CONFIGURAR!$L$3=1,IF(CONFIGURAR!$M173="","",IF(CONFIGURAR!$AH173=TRUE,"",IF(CONFIGURAR!O173="","",CONFIGURAR!O173))),IF(CONFIGURAR!$T173="","",IF(CONFIGURAR!V173="","",CONFIGURAR!V173)))</f>
        <v/>
      </c>
      <c r="O179" s="292" t="str">
        <f>IF(CONFIGURAR!$L$3=1,IF(CONFIGURAR!$M173="","",IF(CONFIGURAR!$AH173=TRUE,"",IF(CONFIGURAR!P173="","",CONFIGURAR!P173))),IF(CONFIGURAR!$T173="","",IF(CONFIGURAR!W173="","",CONFIGURAR!W173)))</f>
        <v/>
      </c>
    </row>
    <row r="180" spans="1:15" ht="18.75" customHeight="1" x14ac:dyDescent="0.2">
      <c r="A180" s="159" t="s">
        <v>94</v>
      </c>
      <c r="B180" s="83" t="s">
        <v>94</v>
      </c>
      <c r="C180" s="83" t="s">
        <v>94</v>
      </c>
      <c r="D180" s="83" t="s">
        <v>94</v>
      </c>
      <c r="J180" s="179"/>
      <c r="K180" s="180"/>
      <c r="L180" s="291" t="str">
        <f>IF(CONFIGURAR!$L$3=1,IF(CONFIGURAR!$M174="","",IF(CONFIGURAR!$AH174=TRUE,"",CONFIGURAR!M174)),IF(CONFIGURAR!$T174="","",CONFIGURAR!T174))</f>
        <v/>
      </c>
      <c r="M180" s="292" t="str">
        <f>IF(CONFIGURAR!$L$3=1,IF(CONFIGURAR!$M174="","",IF(CONFIGURAR!$AH174=TRUE,"",IF(CONFIGURAR!N174="","",CONFIGURAR!N174))),IF(CONFIGURAR!$T174="","",IF(CONFIGURAR!U174="","",CONFIGURAR!U174)))</f>
        <v/>
      </c>
      <c r="N180" s="292" t="str">
        <f>IF(CONFIGURAR!$L$3=1,IF(CONFIGURAR!$M174="","",IF(CONFIGURAR!$AH174=TRUE,"",IF(CONFIGURAR!O174="","",CONFIGURAR!O174))),IF(CONFIGURAR!$T174="","",IF(CONFIGURAR!V174="","",CONFIGURAR!V174)))</f>
        <v/>
      </c>
      <c r="O180" s="292" t="str">
        <f>IF(CONFIGURAR!$L$3=1,IF(CONFIGURAR!$M174="","",IF(CONFIGURAR!$AH174=TRUE,"",IF(CONFIGURAR!P174="","",CONFIGURAR!P174))),IF(CONFIGURAR!$T174="","",IF(CONFIGURAR!W174="","",CONFIGURAR!W174)))</f>
        <v/>
      </c>
    </row>
    <row r="181" spans="1:15" ht="18.75" customHeight="1" x14ac:dyDescent="0.2">
      <c r="A181" s="159" t="s">
        <v>94</v>
      </c>
      <c r="B181" s="83" t="s">
        <v>94</v>
      </c>
      <c r="C181" s="83" t="s">
        <v>94</v>
      </c>
      <c r="D181" s="83" t="s">
        <v>94</v>
      </c>
      <c r="J181" s="179"/>
      <c r="K181" s="180"/>
      <c r="L181" s="291" t="str">
        <f>IF(CONFIGURAR!$L$3=1,IF(CONFIGURAR!$M175="","",IF(CONFIGURAR!$AH175=TRUE,"",CONFIGURAR!M175)),IF(CONFIGURAR!$T175="","",CONFIGURAR!T175))</f>
        <v/>
      </c>
      <c r="M181" s="292" t="str">
        <f>IF(CONFIGURAR!$L$3=1,IF(CONFIGURAR!$M175="","",IF(CONFIGURAR!$AH175=TRUE,"",IF(CONFIGURAR!N175="","",CONFIGURAR!N175))),IF(CONFIGURAR!$T175="","",IF(CONFIGURAR!U175="","",CONFIGURAR!U175)))</f>
        <v/>
      </c>
      <c r="N181" s="292" t="str">
        <f>IF(CONFIGURAR!$L$3=1,IF(CONFIGURAR!$M175="","",IF(CONFIGURAR!$AH175=TRUE,"",IF(CONFIGURAR!O175="","",CONFIGURAR!O175))),IF(CONFIGURAR!$T175="","",IF(CONFIGURAR!V175="","",CONFIGURAR!V175)))</f>
        <v/>
      </c>
      <c r="O181" s="292" t="str">
        <f>IF(CONFIGURAR!$L$3=1,IF(CONFIGURAR!$M175="","",IF(CONFIGURAR!$AH175=TRUE,"",IF(CONFIGURAR!P175="","",CONFIGURAR!P175))),IF(CONFIGURAR!$T175="","",IF(CONFIGURAR!W175="","",CONFIGURAR!W175)))</f>
        <v/>
      </c>
    </row>
    <row r="182" spans="1:15" ht="18.75" customHeight="1" x14ac:dyDescent="0.2">
      <c r="A182" s="159" t="s">
        <v>94</v>
      </c>
      <c r="B182" s="83" t="s">
        <v>94</v>
      </c>
      <c r="C182" s="83" t="s">
        <v>94</v>
      </c>
      <c r="D182" s="83" t="s">
        <v>94</v>
      </c>
      <c r="J182" s="179"/>
      <c r="K182" s="180"/>
      <c r="L182" s="291" t="str">
        <f>IF(CONFIGURAR!$L$3=1,IF(CONFIGURAR!$M176="","",IF(CONFIGURAR!$AH176=TRUE,"",CONFIGURAR!M176)),IF(CONFIGURAR!$T176="","",CONFIGURAR!T176))</f>
        <v/>
      </c>
      <c r="M182" s="292" t="str">
        <f>IF(CONFIGURAR!$L$3=1,IF(CONFIGURAR!$M176="","",IF(CONFIGURAR!$AH176=TRUE,"",IF(CONFIGURAR!N176="","",CONFIGURAR!N176))),IF(CONFIGURAR!$T176="","",IF(CONFIGURAR!U176="","",CONFIGURAR!U176)))</f>
        <v/>
      </c>
      <c r="N182" s="292" t="str">
        <f>IF(CONFIGURAR!$L$3=1,IF(CONFIGURAR!$M176="","",IF(CONFIGURAR!$AH176=TRUE,"",IF(CONFIGURAR!O176="","",CONFIGURAR!O176))),IF(CONFIGURAR!$T176="","",IF(CONFIGURAR!V176="","",CONFIGURAR!V176)))</f>
        <v/>
      </c>
      <c r="O182" s="292" t="str">
        <f>IF(CONFIGURAR!$L$3=1,IF(CONFIGURAR!$M176="","",IF(CONFIGURAR!$AH176=TRUE,"",IF(CONFIGURAR!P176="","",CONFIGURAR!P176))),IF(CONFIGURAR!$T176="","",IF(CONFIGURAR!W176="","",CONFIGURAR!W176)))</f>
        <v/>
      </c>
    </row>
    <row r="183" spans="1:15" ht="18.75" customHeight="1" x14ac:dyDescent="0.2">
      <c r="A183" s="159" t="s">
        <v>94</v>
      </c>
      <c r="B183" s="83" t="s">
        <v>94</v>
      </c>
      <c r="C183" s="83" t="s">
        <v>94</v>
      </c>
      <c r="D183" s="83" t="s">
        <v>94</v>
      </c>
      <c r="J183" s="179"/>
      <c r="K183" s="180"/>
      <c r="L183" s="291" t="str">
        <f>IF(CONFIGURAR!$L$3=1,IF(CONFIGURAR!$M177="","",IF(CONFIGURAR!$AH177=TRUE,"",CONFIGURAR!M177)),IF(CONFIGURAR!$T177="","",CONFIGURAR!T177))</f>
        <v/>
      </c>
      <c r="M183" s="292" t="str">
        <f>IF(CONFIGURAR!$L$3=1,IF(CONFIGURAR!$M177="","",IF(CONFIGURAR!$AH177=TRUE,"",IF(CONFIGURAR!N177="","",CONFIGURAR!N177))),IF(CONFIGURAR!$T177="","",IF(CONFIGURAR!U177="","",CONFIGURAR!U177)))</f>
        <v/>
      </c>
      <c r="N183" s="292" t="str">
        <f>IF(CONFIGURAR!$L$3=1,IF(CONFIGURAR!$M177="","",IF(CONFIGURAR!$AH177=TRUE,"",IF(CONFIGURAR!O177="","",CONFIGURAR!O177))),IF(CONFIGURAR!$T177="","",IF(CONFIGURAR!V177="","",CONFIGURAR!V177)))</f>
        <v/>
      </c>
      <c r="O183" s="292" t="str">
        <f>IF(CONFIGURAR!$L$3=1,IF(CONFIGURAR!$M177="","",IF(CONFIGURAR!$AH177=TRUE,"",IF(CONFIGURAR!P177="","",CONFIGURAR!P177))),IF(CONFIGURAR!$T177="","",IF(CONFIGURAR!W177="","",CONFIGURAR!W177)))</f>
        <v/>
      </c>
    </row>
    <row r="184" spans="1:15" ht="18.75" customHeight="1" x14ac:dyDescent="0.2">
      <c r="A184" s="159" t="s">
        <v>94</v>
      </c>
      <c r="B184" s="83" t="s">
        <v>94</v>
      </c>
      <c r="C184" s="83" t="s">
        <v>94</v>
      </c>
      <c r="D184" s="83" t="s">
        <v>94</v>
      </c>
      <c r="J184" s="179"/>
      <c r="K184" s="180"/>
      <c r="L184" s="291" t="str">
        <f>IF(CONFIGURAR!$L$3=1,IF(CONFIGURAR!$M178="","",IF(CONFIGURAR!$AH178=TRUE,"",CONFIGURAR!M178)),IF(CONFIGURAR!$T178="","",CONFIGURAR!T178))</f>
        <v/>
      </c>
      <c r="M184" s="292" t="str">
        <f>IF(CONFIGURAR!$L$3=1,IF(CONFIGURAR!$M178="","",IF(CONFIGURAR!$AH178=TRUE,"",IF(CONFIGURAR!N178="","",CONFIGURAR!N178))),IF(CONFIGURAR!$T178="","",IF(CONFIGURAR!U178="","",CONFIGURAR!U178)))</f>
        <v/>
      </c>
      <c r="N184" s="292" t="str">
        <f>IF(CONFIGURAR!$L$3=1,IF(CONFIGURAR!$M178="","",IF(CONFIGURAR!$AH178=TRUE,"",IF(CONFIGURAR!O178="","",CONFIGURAR!O178))),IF(CONFIGURAR!$T178="","",IF(CONFIGURAR!V178="","",CONFIGURAR!V178)))</f>
        <v/>
      </c>
      <c r="O184" s="292" t="str">
        <f>IF(CONFIGURAR!$L$3=1,IF(CONFIGURAR!$M178="","",IF(CONFIGURAR!$AH178=TRUE,"",IF(CONFIGURAR!P178="","",CONFIGURAR!P178))),IF(CONFIGURAR!$T178="","",IF(CONFIGURAR!W178="","",CONFIGURAR!W178)))</f>
        <v/>
      </c>
    </row>
    <row r="185" spans="1:15" ht="18.75" customHeight="1" x14ac:dyDescent="0.2">
      <c r="A185" s="159" t="s">
        <v>94</v>
      </c>
      <c r="B185" s="83" t="s">
        <v>94</v>
      </c>
      <c r="C185" s="83" t="s">
        <v>94</v>
      </c>
      <c r="D185" s="83" t="s">
        <v>94</v>
      </c>
      <c r="J185" s="179"/>
      <c r="K185" s="180"/>
      <c r="L185" s="291" t="str">
        <f>IF(CONFIGURAR!$L$3=1,IF(CONFIGURAR!$M179="","",IF(CONFIGURAR!$AH179=TRUE,"",CONFIGURAR!M179)),IF(CONFIGURAR!$T179="","",CONFIGURAR!T179))</f>
        <v/>
      </c>
      <c r="M185" s="292" t="str">
        <f>IF(CONFIGURAR!$L$3=1,IF(CONFIGURAR!$M179="","",IF(CONFIGURAR!$AH179=TRUE,"",IF(CONFIGURAR!N179="","",CONFIGURAR!N179))),IF(CONFIGURAR!$T179="","",IF(CONFIGURAR!U179="","",CONFIGURAR!U179)))</f>
        <v/>
      </c>
      <c r="N185" s="292" t="str">
        <f>IF(CONFIGURAR!$L$3=1,IF(CONFIGURAR!$M179="","",IF(CONFIGURAR!$AH179=TRUE,"",IF(CONFIGURAR!O179="","",CONFIGURAR!O179))),IF(CONFIGURAR!$T179="","",IF(CONFIGURAR!V179="","",CONFIGURAR!V179)))</f>
        <v/>
      </c>
      <c r="O185" s="292" t="str">
        <f>IF(CONFIGURAR!$L$3=1,IF(CONFIGURAR!$M179="","",IF(CONFIGURAR!$AH179=TRUE,"",IF(CONFIGURAR!P179="","",CONFIGURAR!P179))),IF(CONFIGURAR!$T179="","",IF(CONFIGURAR!W179="","",CONFIGURAR!W179)))</f>
        <v/>
      </c>
    </row>
    <row r="186" spans="1:15" ht="18.75" customHeight="1" x14ac:dyDescent="0.2">
      <c r="A186" s="159" t="s">
        <v>94</v>
      </c>
      <c r="B186" s="83" t="s">
        <v>94</v>
      </c>
      <c r="C186" s="83" t="s">
        <v>94</v>
      </c>
      <c r="D186" s="83" t="s">
        <v>94</v>
      </c>
      <c r="J186" s="179"/>
      <c r="K186" s="180"/>
      <c r="L186" s="291" t="str">
        <f>IF(CONFIGURAR!$L$3=1,IF(CONFIGURAR!$M180="","",IF(CONFIGURAR!$AH180=TRUE,"",CONFIGURAR!M180)),IF(CONFIGURAR!$T180="","",CONFIGURAR!T180))</f>
        <v/>
      </c>
      <c r="M186" s="292" t="str">
        <f>IF(CONFIGURAR!$L$3=1,IF(CONFIGURAR!$M180="","",IF(CONFIGURAR!$AH180=TRUE,"",IF(CONFIGURAR!N180="","",CONFIGURAR!N180))),IF(CONFIGURAR!$T180="","",IF(CONFIGURAR!U180="","",CONFIGURAR!U180)))</f>
        <v/>
      </c>
      <c r="N186" s="292" t="str">
        <f>IF(CONFIGURAR!$L$3=1,IF(CONFIGURAR!$M180="","",IF(CONFIGURAR!$AH180=TRUE,"",IF(CONFIGURAR!O180="","",CONFIGURAR!O180))),IF(CONFIGURAR!$T180="","",IF(CONFIGURAR!V180="","",CONFIGURAR!V180)))</f>
        <v/>
      </c>
      <c r="O186" s="292" t="str">
        <f>IF(CONFIGURAR!$L$3=1,IF(CONFIGURAR!$M180="","",IF(CONFIGURAR!$AH180=TRUE,"",IF(CONFIGURAR!P180="","",CONFIGURAR!P180))),IF(CONFIGURAR!$T180="","",IF(CONFIGURAR!W180="","",CONFIGURAR!W180)))</f>
        <v/>
      </c>
    </row>
    <row r="187" spans="1:15" ht="18.75" customHeight="1" x14ac:dyDescent="0.2">
      <c r="A187" s="159" t="s">
        <v>94</v>
      </c>
      <c r="B187" s="83" t="s">
        <v>94</v>
      </c>
      <c r="C187" s="83" t="s">
        <v>94</v>
      </c>
      <c r="D187" s="83" t="s">
        <v>94</v>
      </c>
      <c r="J187" s="179"/>
      <c r="K187" s="180"/>
      <c r="L187" s="291" t="str">
        <f>IF(CONFIGURAR!$L$3=1,IF(CONFIGURAR!$M181="","",IF(CONFIGURAR!$AH181=TRUE,"",CONFIGURAR!M181)),IF(CONFIGURAR!$T181="","",CONFIGURAR!T181))</f>
        <v/>
      </c>
      <c r="M187" s="292" t="str">
        <f>IF(CONFIGURAR!$L$3=1,IF(CONFIGURAR!$M181="","",IF(CONFIGURAR!$AH181=TRUE,"",IF(CONFIGURAR!N181="","",CONFIGURAR!N181))),IF(CONFIGURAR!$T181="","",IF(CONFIGURAR!U181="","",CONFIGURAR!U181)))</f>
        <v/>
      </c>
      <c r="N187" s="292" t="str">
        <f>IF(CONFIGURAR!$L$3=1,IF(CONFIGURAR!$M181="","",IF(CONFIGURAR!$AH181=TRUE,"",IF(CONFIGURAR!O181="","",CONFIGURAR!O181))),IF(CONFIGURAR!$T181="","",IF(CONFIGURAR!V181="","",CONFIGURAR!V181)))</f>
        <v/>
      </c>
      <c r="O187" s="292" t="str">
        <f>IF(CONFIGURAR!$L$3=1,IF(CONFIGURAR!$M181="","",IF(CONFIGURAR!$AH181=TRUE,"",IF(CONFIGURAR!P181="","",CONFIGURAR!P181))),IF(CONFIGURAR!$T181="","",IF(CONFIGURAR!W181="","",CONFIGURAR!W181)))</f>
        <v/>
      </c>
    </row>
    <row r="188" spans="1:15" ht="18.75" customHeight="1" x14ac:dyDescent="0.2">
      <c r="A188" s="159" t="s">
        <v>94</v>
      </c>
      <c r="B188" s="83" t="s">
        <v>94</v>
      </c>
      <c r="C188" s="83" t="s">
        <v>94</v>
      </c>
      <c r="D188" s="83" t="s">
        <v>94</v>
      </c>
      <c r="J188" s="179"/>
      <c r="K188" s="180"/>
      <c r="L188" s="291" t="str">
        <f>IF(CONFIGURAR!$L$3=1,IF(CONFIGURAR!$M182="","",IF(CONFIGURAR!$AH182=TRUE,"",CONFIGURAR!M182)),IF(CONFIGURAR!$T182="","",CONFIGURAR!T182))</f>
        <v/>
      </c>
      <c r="M188" s="292" t="str">
        <f>IF(CONFIGURAR!$L$3=1,IF(CONFIGURAR!$M182="","",IF(CONFIGURAR!$AH182=TRUE,"",IF(CONFIGURAR!N182="","",CONFIGURAR!N182))),IF(CONFIGURAR!$T182="","",IF(CONFIGURAR!U182="","",CONFIGURAR!U182)))</f>
        <v/>
      </c>
      <c r="N188" s="292" t="str">
        <f>IF(CONFIGURAR!$L$3=1,IF(CONFIGURAR!$M182="","",IF(CONFIGURAR!$AH182=TRUE,"",IF(CONFIGURAR!O182="","",CONFIGURAR!O182))),IF(CONFIGURAR!$T182="","",IF(CONFIGURAR!V182="","",CONFIGURAR!V182)))</f>
        <v/>
      </c>
      <c r="O188" s="292" t="str">
        <f>IF(CONFIGURAR!$L$3=1,IF(CONFIGURAR!$M182="","",IF(CONFIGURAR!$AH182=TRUE,"",IF(CONFIGURAR!P182="","",CONFIGURAR!P182))),IF(CONFIGURAR!$T182="","",IF(CONFIGURAR!W182="","",CONFIGURAR!W182)))</f>
        <v/>
      </c>
    </row>
    <row r="189" spans="1:15" ht="18.75" customHeight="1" x14ac:dyDescent="0.2">
      <c r="A189" s="159" t="s">
        <v>94</v>
      </c>
      <c r="B189" s="83" t="s">
        <v>94</v>
      </c>
      <c r="C189" s="83" t="s">
        <v>94</v>
      </c>
      <c r="D189" s="83" t="s">
        <v>94</v>
      </c>
      <c r="J189" s="179"/>
      <c r="K189" s="180"/>
      <c r="L189" s="291" t="str">
        <f>IF(CONFIGURAR!$L$3=1,IF(CONFIGURAR!$M183="","",IF(CONFIGURAR!$AH183=TRUE,"",CONFIGURAR!M183)),IF(CONFIGURAR!$T183="","",CONFIGURAR!T183))</f>
        <v/>
      </c>
      <c r="M189" s="292" t="str">
        <f>IF(CONFIGURAR!$L$3=1,IF(CONFIGURAR!$M183="","",IF(CONFIGURAR!$AH183=TRUE,"",IF(CONFIGURAR!N183="","",CONFIGURAR!N183))),IF(CONFIGURAR!$T183="","",IF(CONFIGURAR!U183="","",CONFIGURAR!U183)))</f>
        <v/>
      </c>
      <c r="N189" s="292" t="str">
        <f>IF(CONFIGURAR!$L$3=1,IF(CONFIGURAR!$M183="","",IF(CONFIGURAR!$AH183=TRUE,"",IF(CONFIGURAR!O183="","",CONFIGURAR!O183))),IF(CONFIGURAR!$T183="","",IF(CONFIGURAR!V183="","",CONFIGURAR!V183)))</f>
        <v/>
      </c>
      <c r="O189" s="292" t="str">
        <f>IF(CONFIGURAR!$L$3=1,IF(CONFIGURAR!$M183="","",IF(CONFIGURAR!$AH183=TRUE,"",IF(CONFIGURAR!P183="","",CONFIGURAR!P183))),IF(CONFIGURAR!$T183="","",IF(CONFIGURAR!W183="","",CONFIGURAR!W183)))</f>
        <v/>
      </c>
    </row>
    <row r="190" spans="1:15" ht="18.75" customHeight="1" x14ac:dyDescent="0.2">
      <c r="A190" s="159" t="s">
        <v>94</v>
      </c>
      <c r="B190" s="83" t="s">
        <v>94</v>
      </c>
      <c r="C190" s="83" t="s">
        <v>94</v>
      </c>
      <c r="D190" s="83" t="s">
        <v>94</v>
      </c>
      <c r="J190" s="179"/>
      <c r="K190" s="180"/>
      <c r="L190" s="291" t="str">
        <f>IF(CONFIGURAR!$L$3=1,IF(CONFIGURAR!$M184="","",IF(CONFIGURAR!$AH184=TRUE,"",CONFIGURAR!M184)),IF(CONFIGURAR!$T184="","",CONFIGURAR!T184))</f>
        <v/>
      </c>
      <c r="M190" s="292" t="str">
        <f>IF(CONFIGURAR!$L$3=1,IF(CONFIGURAR!$M184="","",IF(CONFIGURAR!$AH184=TRUE,"",IF(CONFIGURAR!N184="","",CONFIGURAR!N184))),IF(CONFIGURAR!$T184="","",IF(CONFIGURAR!U184="","",CONFIGURAR!U184)))</f>
        <v/>
      </c>
      <c r="N190" s="292" t="str">
        <f>IF(CONFIGURAR!$L$3=1,IF(CONFIGURAR!$M184="","",IF(CONFIGURAR!$AH184=TRUE,"",IF(CONFIGURAR!O184="","",CONFIGURAR!O184))),IF(CONFIGURAR!$T184="","",IF(CONFIGURAR!V184="","",CONFIGURAR!V184)))</f>
        <v/>
      </c>
      <c r="O190" s="292" t="str">
        <f>IF(CONFIGURAR!$L$3=1,IF(CONFIGURAR!$M184="","",IF(CONFIGURAR!$AH184=TRUE,"",IF(CONFIGURAR!P184="","",CONFIGURAR!P184))),IF(CONFIGURAR!$T184="","",IF(CONFIGURAR!W184="","",CONFIGURAR!W184)))</f>
        <v/>
      </c>
    </row>
    <row r="191" spans="1:15" ht="18.75" customHeight="1" x14ac:dyDescent="0.2">
      <c r="A191" s="159" t="s">
        <v>94</v>
      </c>
      <c r="B191" s="83" t="s">
        <v>94</v>
      </c>
      <c r="C191" s="83" t="s">
        <v>94</v>
      </c>
      <c r="D191" s="83" t="s">
        <v>94</v>
      </c>
      <c r="J191" s="179"/>
      <c r="K191" s="180"/>
      <c r="L191" s="291" t="str">
        <f>IF(CONFIGURAR!$L$3=1,IF(CONFIGURAR!$M185="","",IF(CONFIGURAR!$AH185=TRUE,"",CONFIGURAR!M185)),IF(CONFIGURAR!$T185="","",CONFIGURAR!T185))</f>
        <v/>
      </c>
      <c r="M191" s="292" t="str">
        <f>IF(CONFIGURAR!$L$3=1,IF(CONFIGURAR!$M185="","",IF(CONFIGURAR!$AH185=TRUE,"",IF(CONFIGURAR!N185="","",CONFIGURAR!N185))),IF(CONFIGURAR!$T185="","",IF(CONFIGURAR!U185="","",CONFIGURAR!U185)))</f>
        <v/>
      </c>
      <c r="N191" s="292" t="str">
        <f>IF(CONFIGURAR!$L$3=1,IF(CONFIGURAR!$M185="","",IF(CONFIGURAR!$AH185=TRUE,"",IF(CONFIGURAR!O185="","",CONFIGURAR!O185))),IF(CONFIGURAR!$T185="","",IF(CONFIGURAR!V185="","",CONFIGURAR!V185)))</f>
        <v/>
      </c>
      <c r="O191" s="292" t="str">
        <f>IF(CONFIGURAR!$L$3=1,IF(CONFIGURAR!$M185="","",IF(CONFIGURAR!$AH185=TRUE,"",IF(CONFIGURAR!P185="","",CONFIGURAR!P185))),IF(CONFIGURAR!$T185="","",IF(CONFIGURAR!W185="","",CONFIGURAR!W185)))</f>
        <v/>
      </c>
    </row>
    <row r="192" spans="1:15" ht="18.75" customHeight="1" x14ac:dyDescent="0.2">
      <c r="A192" s="159" t="s">
        <v>94</v>
      </c>
      <c r="B192" s="83" t="s">
        <v>94</v>
      </c>
      <c r="C192" s="83" t="s">
        <v>94</v>
      </c>
      <c r="D192" s="83" t="s">
        <v>94</v>
      </c>
      <c r="J192" s="179"/>
      <c r="K192" s="180"/>
      <c r="L192" s="291" t="str">
        <f>IF(CONFIGURAR!$L$3=1,IF(CONFIGURAR!$M186="","",IF(CONFIGURAR!$AH186=TRUE,"",CONFIGURAR!M186)),IF(CONFIGURAR!$T186="","",CONFIGURAR!T186))</f>
        <v/>
      </c>
      <c r="M192" s="292" t="str">
        <f>IF(CONFIGURAR!$L$3=1,IF(CONFIGURAR!$M186="","",IF(CONFIGURAR!$AH186=TRUE,"",IF(CONFIGURAR!N186="","",CONFIGURAR!N186))),IF(CONFIGURAR!$T186="","",IF(CONFIGURAR!U186="","",CONFIGURAR!U186)))</f>
        <v/>
      </c>
      <c r="N192" s="292" t="str">
        <f>IF(CONFIGURAR!$L$3=1,IF(CONFIGURAR!$M186="","",IF(CONFIGURAR!$AH186=TRUE,"",IF(CONFIGURAR!O186="","",CONFIGURAR!O186))),IF(CONFIGURAR!$T186="","",IF(CONFIGURAR!V186="","",CONFIGURAR!V186)))</f>
        <v/>
      </c>
      <c r="O192" s="292" t="str">
        <f>IF(CONFIGURAR!$L$3=1,IF(CONFIGURAR!$M186="","",IF(CONFIGURAR!$AH186=TRUE,"",IF(CONFIGURAR!P186="","",CONFIGURAR!P186))),IF(CONFIGURAR!$T186="","",IF(CONFIGURAR!W186="","",CONFIGURAR!W186)))</f>
        <v/>
      </c>
    </row>
    <row r="193" spans="1:15" ht="18.75" customHeight="1" x14ac:dyDescent="0.2">
      <c r="A193" s="159" t="s">
        <v>94</v>
      </c>
      <c r="B193" s="83" t="s">
        <v>94</v>
      </c>
      <c r="C193" s="83" t="s">
        <v>94</v>
      </c>
      <c r="D193" s="83" t="s">
        <v>94</v>
      </c>
      <c r="J193" s="179"/>
      <c r="K193" s="180"/>
      <c r="L193" s="291" t="str">
        <f>IF(CONFIGURAR!$L$3=1,IF(CONFIGURAR!$M187="","",IF(CONFIGURAR!$AH187=TRUE,"",CONFIGURAR!M187)),IF(CONFIGURAR!$T187="","",CONFIGURAR!T187))</f>
        <v/>
      </c>
      <c r="M193" s="292" t="str">
        <f>IF(CONFIGURAR!$L$3=1,IF(CONFIGURAR!$M187="","",IF(CONFIGURAR!$AH187=TRUE,"",IF(CONFIGURAR!N187="","",CONFIGURAR!N187))),IF(CONFIGURAR!$T187="","",IF(CONFIGURAR!U187="","",CONFIGURAR!U187)))</f>
        <v/>
      </c>
      <c r="N193" s="292" t="str">
        <f>IF(CONFIGURAR!$L$3=1,IF(CONFIGURAR!$M187="","",IF(CONFIGURAR!$AH187=TRUE,"",IF(CONFIGURAR!O187="","",CONFIGURAR!O187))),IF(CONFIGURAR!$T187="","",IF(CONFIGURAR!V187="","",CONFIGURAR!V187)))</f>
        <v/>
      </c>
      <c r="O193" s="292" t="str">
        <f>IF(CONFIGURAR!$L$3=1,IF(CONFIGURAR!$M187="","",IF(CONFIGURAR!$AH187=TRUE,"",IF(CONFIGURAR!P187="","",CONFIGURAR!P187))),IF(CONFIGURAR!$T187="","",IF(CONFIGURAR!W187="","",CONFIGURAR!W187)))</f>
        <v/>
      </c>
    </row>
    <row r="194" spans="1:15" ht="18.75" customHeight="1" x14ac:dyDescent="0.2">
      <c r="A194" s="159" t="s">
        <v>94</v>
      </c>
      <c r="B194" s="83" t="s">
        <v>94</v>
      </c>
      <c r="C194" s="83" t="s">
        <v>94</v>
      </c>
      <c r="D194" s="83" t="s">
        <v>94</v>
      </c>
      <c r="J194" s="179"/>
      <c r="K194" s="180"/>
      <c r="L194" s="291" t="str">
        <f>IF(CONFIGURAR!$L$3=1,IF(CONFIGURAR!$M188="","",IF(CONFIGURAR!$AH188=TRUE,"",CONFIGURAR!M188)),IF(CONFIGURAR!$T188="","",CONFIGURAR!T188))</f>
        <v/>
      </c>
      <c r="M194" s="292" t="str">
        <f>IF(CONFIGURAR!$L$3=1,IF(CONFIGURAR!$M188="","",IF(CONFIGURAR!$AH188=TRUE,"",IF(CONFIGURAR!N188="","",CONFIGURAR!N188))),IF(CONFIGURAR!$T188="","",IF(CONFIGURAR!U188="","",CONFIGURAR!U188)))</f>
        <v/>
      </c>
      <c r="N194" s="292" t="str">
        <f>IF(CONFIGURAR!$L$3=1,IF(CONFIGURAR!$M188="","",IF(CONFIGURAR!$AH188=TRUE,"",IF(CONFIGURAR!O188="","",CONFIGURAR!O188))),IF(CONFIGURAR!$T188="","",IF(CONFIGURAR!V188="","",CONFIGURAR!V188)))</f>
        <v/>
      </c>
      <c r="O194" s="292" t="str">
        <f>IF(CONFIGURAR!$L$3=1,IF(CONFIGURAR!$M188="","",IF(CONFIGURAR!$AH188=TRUE,"",IF(CONFIGURAR!P188="","",CONFIGURAR!P188))),IF(CONFIGURAR!$T188="","",IF(CONFIGURAR!W188="","",CONFIGURAR!W188)))</f>
        <v/>
      </c>
    </row>
    <row r="195" spans="1:15" ht="18.75" customHeight="1" x14ac:dyDescent="0.2">
      <c r="A195" s="159" t="s">
        <v>94</v>
      </c>
      <c r="B195" s="83" t="s">
        <v>94</v>
      </c>
      <c r="C195" s="83" t="s">
        <v>94</v>
      </c>
      <c r="D195" s="83" t="s">
        <v>94</v>
      </c>
      <c r="J195" s="179"/>
      <c r="K195" s="180"/>
      <c r="L195" s="291" t="str">
        <f>IF(CONFIGURAR!$L$3=1,IF(CONFIGURAR!$M189="","",IF(CONFIGURAR!$AH189=TRUE,"",CONFIGURAR!M189)),IF(CONFIGURAR!$T189="","",CONFIGURAR!T189))</f>
        <v/>
      </c>
      <c r="M195" s="292" t="str">
        <f>IF(CONFIGURAR!$L$3=1,IF(CONFIGURAR!$M189="","",IF(CONFIGURAR!$AH189=TRUE,"",IF(CONFIGURAR!N189="","",CONFIGURAR!N189))),IF(CONFIGURAR!$T189="","",IF(CONFIGURAR!U189="","",CONFIGURAR!U189)))</f>
        <v/>
      </c>
      <c r="N195" s="292" t="str">
        <f>IF(CONFIGURAR!$L$3=1,IF(CONFIGURAR!$M189="","",IF(CONFIGURAR!$AH189=TRUE,"",IF(CONFIGURAR!O189="","",CONFIGURAR!O189))),IF(CONFIGURAR!$T189="","",IF(CONFIGURAR!V189="","",CONFIGURAR!V189)))</f>
        <v/>
      </c>
      <c r="O195" s="292" t="str">
        <f>IF(CONFIGURAR!$L$3=1,IF(CONFIGURAR!$M189="","",IF(CONFIGURAR!$AH189=TRUE,"",IF(CONFIGURAR!P189="","",CONFIGURAR!P189))),IF(CONFIGURAR!$T189="","",IF(CONFIGURAR!W189="","",CONFIGURAR!W189)))</f>
        <v/>
      </c>
    </row>
    <row r="196" spans="1:15" ht="18.75" customHeight="1" x14ac:dyDescent="0.2">
      <c r="A196" s="159" t="s">
        <v>94</v>
      </c>
      <c r="B196" s="83" t="s">
        <v>94</v>
      </c>
      <c r="C196" s="83" t="s">
        <v>94</v>
      </c>
      <c r="D196" s="83" t="s">
        <v>94</v>
      </c>
      <c r="J196" s="179"/>
      <c r="K196" s="180"/>
      <c r="L196" s="291" t="str">
        <f>IF(CONFIGURAR!$L$3=1,IF(CONFIGURAR!$M190="","",IF(CONFIGURAR!$AH190=TRUE,"",CONFIGURAR!M190)),IF(CONFIGURAR!$T190="","",CONFIGURAR!T190))</f>
        <v/>
      </c>
      <c r="M196" s="292" t="str">
        <f>IF(CONFIGURAR!$L$3=1,IF(CONFIGURAR!$M190="","",IF(CONFIGURAR!$AH190=TRUE,"",IF(CONFIGURAR!N190="","",CONFIGURAR!N190))),IF(CONFIGURAR!$T190="","",IF(CONFIGURAR!U190="","",CONFIGURAR!U190)))</f>
        <v/>
      </c>
      <c r="N196" s="292" t="str">
        <f>IF(CONFIGURAR!$L$3=1,IF(CONFIGURAR!$M190="","",IF(CONFIGURAR!$AH190=TRUE,"",IF(CONFIGURAR!O190="","",CONFIGURAR!O190))),IF(CONFIGURAR!$T190="","",IF(CONFIGURAR!V190="","",CONFIGURAR!V190)))</f>
        <v/>
      </c>
      <c r="O196" s="292" t="str">
        <f>IF(CONFIGURAR!$L$3=1,IF(CONFIGURAR!$M190="","",IF(CONFIGURAR!$AH190=TRUE,"",IF(CONFIGURAR!P190="","",CONFIGURAR!P190))),IF(CONFIGURAR!$T190="","",IF(CONFIGURAR!W190="","",CONFIGURAR!W190)))</f>
        <v/>
      </c>
    </row>
    <row r="197" spans="1:15" ht="18.75" customHeight="1" x14ac:dyDescent="0.2">
      <c r="A197" s="159" t="s">
        <v>94</v>
      </c>
      <c r="B197" s="83" t="s">
        <v>94</v>
      </c>
      <c r="C197" s="83" t="s">
        <v>94</v>
      </c>
      <c r="D197" s="83" t="s">
        <v>94</v>
      </c>
      <c r="J197" s="179"/>
      <c r="K197" s="180"/>
      <c r="L197" s="291" t="str">
        <f>IF(CONFIGURAR!$L$3=1,IF(CONFIGURAR!$M191="","",IF(CONFIGURAR!$AH191=TRUE,"",CONFIGURAR!M191)),IF(CONFIGURAR!$T191="","",CONFIGURAR!T191))</f>
        <v/>
      </c>
      <c r="M197" s="292" t="str">
        <f>IF(CONFIGURAR!$L$3=1,IF(CONFIGURAR!$M191="","",IF(CONFIGURAR!$AH191=TRUE,"",IF(CONFIGURAR!N191="","",CONFIGURAR!N191))),IF(CONFIGURAR!$T191="","",IF(CONFIGURAR!U191="","",CONFIGURAR!U191)))</f>
        <v/>
      </c>
      <c r="N197" s="292" t="str">
        <f>IF(CONFIGURAR!$L$3=1,IF(CONFIGURAR!$M191="","",IF(CONFIGURAR!$AH191=TRUE,"",IF(CONFIGURAR!O191="","",CONFIGURAR!O191))),IF(CONFIGURAR!$T191="","",IF(CONFIGURAR!V191="","",CONFIGURAR!V191)))</f>
        <v/>
      </c>
      <c r="O197" s="292" t="str">
        <f>IF(CONFIGURAR!$L$3=1,IF(CONFIGURAR!$M191="","",IF(CONFIGURAR!$AH191=TRUE,"",IF(CONFIGURAR!P191="","",CONFIGURAR!P191))),IF(CONFIGURAR!$T191="","",IF(CONFIGURAR!W191="","",CONFIGURAR!W191)))</f>
        <v/>
      </c>
    </row>
    <row r="198" spans="1:15" ht="18.75" customHeight="1" x14ac:dyDescent="0.2">
      <c r="A198" s="159" t="s">
        <v>94</v>
      </c>
      <c r="B198" s="83" t="s">
        <v>94</v>
      </c>
      <c r="C198" s="83" t="s">
        <v>94</v>
      </c>
      <c r="D198" s="83" t="s">
        <v>94</v>
      </c>
      <c r="J198" s="179"/>
      <c r="K198" s="180"/>
      <c r="L198" s="291" t="str">
        <f>IF(CONFIGURAR!$L$3=1,IF(CONFIGURAR!$M192="","",IF(CONFIGURAR!$AH192=TRUE,"",CONFIGURAR!M192)),IF(CONFIGURAR!$T192="","",CONFIGURAR!T192))</f>
        <v/>
      </c>
      <c r="M198" s="292" t="str">
        <f>IF(CONFIGURAR!$L$3=1,IF(CONFIGURAR!$M192="","",IF(CONFIGURAR!$AH192=TRUE,"",IF(CONFIGURAR!N192="","",CONFIGURAR!N192))),IF(CONFIGURAR!$T192="","",IF(CONFIGURAR!U192="","",CONFIGURAR!U192)))</f>
        <v/>
      </c>
      <c r="N198" s="292" t="str">
        <f>IF(CONFIGURAR!$L$3=1,IF(CONFIGURAR!$M192="","",IF(CONFIGURAR!$AH192=TRUE,"",IF(CONFIGURAR!O192="","",CONFIGURAR!O192))),IF(CONFIGURAR!$T192="","",IF(CONFIGURAR!V192="","",CONFIGURAR!V192)))</f>
        <v/>
      </c>
      <c r="O198" s="292" t="str">
        <f>IF(CONFIGURAR!$L$3=1,IF(CONFIGURAR!$M192="","",IF(CONFIGURAR!$AH192=TRUE,"",IF(CONFIGURAR!P192="","",CONFIGURAR!P192))),IF(CONFIGURAR!$T192="","",IF(CONFIGURAR!W192="","",CONFIGURAR!W192)))</f>
        <v/>
      </c>
    </row>
    <row r="199" spans="1:15" ht="18.75" customHeight="1" x14ac:dyDescent="0.2">
      <c r="A199" s="159" t="s">
        <v>94</v>
      </c>
      <c r="B199" s="83" t="s">
        <v>94</v>
      </c>
      <c r="C199" s="83" t="s">
        <v>94</v>
      </c>
      <c r="D199" s="83" t="s">
        <v>94</v>
      </c>
      <c r="J199" s="179"/>
      <c r="K199" s="180"/>
      <c r="L199" s="291" t="str">
        <f>IF(CONFIGURAR!$L$3=1,IF(CONFIGURAR!$M193="","",IF(CONFIGURAR!$AH193=TRUE,"",CONFIGURAR!M193)),IF(CONFIGURAR!$T193="","",CONFIGURAR!T193))</f>
        <v/>
      </c>
      <c r="M199" s="292" t="str">
        <f>IF(CONFIGURAR!$L$3=1,IF(CONFIGURAR!$M193="","",IF(CONFIGURAR!$AH193=TRUE,"",IF(CONFIGURAR!N193="","",CONFIGURAR!N193))),IF(CONFIGURAR!$T193="","",IF(CONFIGURAR!U193="","",CONFIGURAR!U193)))</f>
        <v/>
      </c>
      <c r="N199" s="292" t="str">
        <f>IF(CONFIGURAR!$L$3=1,IF(CONFIGURAR!$M193="","",IF(CONFIGURAR!$AH193=TRUE,"",IF(CONFIGURAR!O193="","",CONFIGURAR!O193))),IF(CONFIGURAR!$T193="","",IF(CONFIGURAR!V193="","",CONFIGURAR!V193)))</f>
        <v/>
      </c>
      <c r="O199" s="292" t="str">
        <f>IF(CONFIGURAR!$L$3=1,IF(CONFIGURAR!$M193="","",IF(CONFIGURAR!$AH193=TRUE,"",IF(CONFIGURAR!P193="","",CONFIGURAR!P193))),IF(CONFIGURAR!$T193="","",IF(CONFIGURAR!W193="","",CONFIGURAR!W193)))</f>
        <v/>
      </c>
    </row>
    <row r="200" spans="1:15" ht="18.75" customHeight="1" x14ac:dyDescent="0.2">
      <c r="A200" s="159" t="s">
        <v>94</v>
      </c>
      <c r="B200" s="83" t="s">
        <v>94</v>
      </c>
      <c r="C200" s="83" t="s">
        <v>94</v>
      </c>
      <c r="D200" s="83" t="s">
        <v>94</v>
      </c>
      <c r="J200" s="179"/>
      <c r="K200" s="180"/>
      <c r="L200" s="291" t="str">
        <f>IF(CONFIGURAR!$L$3=1,IF(CONFIGURAR!$M194="","",IF(CONFIGURAR!$AH194=TRUE,"",CONFIGURAR!M194)),IF(CONFIGURAR!$T194="","",CONFIGURAR!T194))</f>
        <v/>
      </c>
      <c r="M200" s="292" t="str">
        <f>IF(CONFIGURAR!$L$3=1,IF(CONFIGURAR!$M194="","",IF(CONFIGURAR!$AH194=TRUE,"",IF(CONFIGURAR!N194="","",CONFIGURAR!N194))),IF(CONFIGURAR!$T194="","",IF(CONFIGURAR!U194="","",CONFIGURAR!U194)))</f>
        <v/>
      </c>
      <c r="N200" s="292" t="str">
        <f>IF(CONFIGURAR!$L$3=1,IF(CONFIGURAR!$M194="","",IF(CONFIGURAR!$AH194=TRUE,"",IF(CONFIGURAR!O194="","",CONFIGURAR!O194))),IF(CONFIGURAR!$T194="","",IF(CONFIGURAR!V194="","",CONFIGURAR!V194)))</f>
        <v/>
      </c>
      <c r="O200" s="292" t="str">
        <f>IF(CONFIGURAR!$L$3=1,IF(CONFIGURAR!$M194="","",IF(CONFIGURAR!$AH194=TRUE,"",IF(CONFIGURAR!P194="","",CONFIGURAR!P194))),IF(CONFIGURAR!$T194="","",IF(CONFIGURAR!W194="","",CONFIGURAR!W194)))</f>
        <v/>
      </c>
    </row>
    <row r="201" spans="1:15" ht="18.75" customHeight="1" x14ac:dyDescent="0.2">
      <c r="A201" s="159" t="s">
        <v>94</v>
      </c>
      <c r="B201" s="83" t="s">
        <v>94</v>
      </c>
      <c r="C201" s="83" t="s">
        <v>94</v>
      </c>
      <c r="D201" s="83" t="s">
        <v>94</v>
      </c>
      <c r="J201" s="179"/>
      <c r="K201" s="180"/>
      <c r="L201" s="291" t="str">
        <f>IF(CONFIGURAR!$L$3=1,IF(CONFIGURAR!$M195="","",IF(CONFIGURAR!$AH195=TRUE,"",CONFIGURAR!M195)),IF(CONFIGURAR!$T195="","",CONFIGURAR!T195))</f>
        <v/>
      </c>
      <c r="M201" s="292" t="str">
        <f>IF(CONFIGURAR!$L$3=1,IF(CONFIGURAR!$M195="","",IF(CONFIGURAR!$AH195=TRUE,"",IF(CONFIGURAR!N195="","",CONFIGURAR!N195))),IF(CONFIGURAR!$T195="","",IF(CONFIGURAR!U195="","",CONFIGURAR!U195)))</f>
        <v/>
      </c>
      <c r="N201" s="292" t="str">
        <f>IF(CONFIGURAR!$L$3=1,IF(CONFIGURAR!$M195="","",IF(CONFIGURAR!$AH195=TRUE,"",IF(CONFIGURAR!O195="","",CONFIGURAR!O195))),IF(CONFIGURAR!$T195="","",IF(CONFIGURAR!V195="","",CONFIGURAR!V195)))</f>
        <v/>
      </c>
      <c r="O201" s="292" t="str">
        <f>IF(CONFIGURAR!$L$3=1,IF(CONFIGURAR!$M195="","",IF(CONFIGURAR!$AH195=TRUE,"",IF(CONFIGURAR!P195="","",CONFIGURAR!P195))),IF(CONFIGURAR!$T195="","",IF(CONFIGURAR!W195="","",CONFIGURAR!W195)))</f>
        <v/>
      </c>
    </row>
    <row r="202" spans="1:15" ht="18.75" customHeight="1" x14ac:dyDescent="0.2">
      <c r="A202" s="159" t="s">
        <v>94</v>
      </c>
      <c r="B202" s="83" t="s">
        <v>94</v>
      </c>
      <c r="C202" s="83" t="s">
        <v>94</v>
      </c>
      <c r="D202" s="83" t="s">
        <v>94</v>
      </c>
      <c r="J202" s="179"/>
      <c r="K202" s="180"/>
      <c r="L202" s="291" t="str">
        <f>IF(CONFIGURAR!$L$3=1,IF(CONFIGURAR!$M196="","",IF(CONFIGURAR!$AH196=TRUE,"",CONFIGURAR!M196)),IF(CONFIGURAR!$T196="","",CONFIGURAR!T196))</f>
        <v/>
      </c>
      <c r="M202" s="292" t="str">
        <f>IF(CONFIGURAR!$L$3=1,IF(CONFIGURAR!$M196="","",IF(CONFIGURAR!$AH196=TRUE,"",IF(CONFIGURAR!N196="","",CONFIGURAR!N196))),IF(CONFIGURAR!$T196="","",IF(CONFIGURAR!U196="","",CONFIGURAR!U196)))</f>
        <v/>
      </c>
      <c r="N202" s="292" t="str">
        <f>IF(CONFIGURAR!$L$3=1,IF(CONFIGURAR!$M196="","",IF(CONFIGURAR!$AH196=TRUE,"",IF(CONFIGURAR!O196="","",CONFIGURAR!O196))),IF(CONFIGURAR!$T196="","",IF(CONFIGURAR!V196="","",CONFIGURAR!V196)))</f>
        <v/>
      </c>
      <c r="O202" s="292" t="str">
        <f>IF(CONFIGURAR!$L$3=1,IF(CONFIGURAR!$M196="","",IF(CONFIGURAR!$AH196=TRUE,"",IF(CONFIGURAR!P196="","",CONFIGURAR!P196))),IF(CONFIGURAR!$T196="","",IF(CONFIGURAR!W196="","",CONFIGURAR!W196)))</f>
        <v/>
      </c>
    </row>
    <row r="203" spans="1:15" ht="18.75" customHeight="1" x14ac:dyDescent="0.2">
      <c r="A203" s="159" t="s">
        <v>94</v>
      </c>
      <c r="B203" s="83" t="s">
        <v>94</v>
      </c>
      <c r="C203" s="83" t="s">
        <v>94</v>
      </c>
      <c r="D203" s="83" t="s">
        <v>94</v>
      </c>
      <c r="J203" s="179"/>
      <c r="K203" s="180"/>
      <c r="L203" s="291" t="str">
        <f>IF(CONFIGURAR!$L$3=1,IF(CONFIGURAR!$M197="","",IF(CONFIGURAR!$AH197=TRUE,"",CONFIGURAR!M197)),IF(CONFIGURAR!$T197="","",CONFIGURAR!T197))</f>
        <v/>
      </c>
      <c r="M203" s="292" t="str">
        <f>IF(CONFIGURAR!$L$3=1,IF(CONFIGURAR!$M197="","",IF(CONFIGURAR!$AH197=TRUE,"",IF(CONFIGURAR!N197="","",CONFIGURAR!N197))),IF(CONFIGURAR!$T197="","",IF(CONFIGURAR!U197="","",CONFIGURAR!U197)))</f>
        <v/>
      </c>
      <c r="N203" s="292" t="str">
        <f>IF(CONFIGURAR!$L$3=1,IF(CONFIGURAR!$M197="","",IF(CONFIGURAR!$AH197=TRUE,"",IF(CONFIGURAR!O197="","",CONFIGURAR!O197))),IF(CONFIGURAR!$T197="","",IF(CONFIGURAR!V197="","",CONFIGURAR!V197)))</f>
        <v/>
      </c>
      <c r="O203" s="292" t="str">
        <f>IF(CONFIGURAR!$L$3=1,IF(CONFIGURAR!$M197="","",IF(CONFIGURAR!$AH197=TRUE,"",IF(CONFIGURAR!P197="","",CONFIGURAR!P197))),IF(CONFIGURAR!$T197="","",IF(CONFIGURAR!W197="","",CONFIGURAR!W197)))</f>
        <v/>
      </c>
    </row>
    <row r="204" spans="1:15" ht="18.75" customHeight="1" x14ac:dyDescent="0.2">
      <c r="A204" s="159" t="s">
        <v>94</v>
      </c>
      <c r="B204" s="83" t="s">
        <v>94</v>
      </c>
      <c r="C204" s="83" t="s">
        <v>94</v>
      </c>
      <c r="D204" s="83" t="s">
        <v>94</v>
      </c>
      <c r="J204" s="179"/>
      <c r="K204" s="180"/>
      <c r="L204" s="291" t="str">
        <f>IF(CONFIGURAR!$L$3=1,IF(CONFIGURAR!$M198="","",IF(CONFIGURAR!$AH198=TRUE,"",CONFIGURAR!M198)),IF(CONFIGURAR!$T198="","",CONFIGURAR!T198))</f>
        <v/>
      </c>
      <c r="M204" s="292" t="str">
        <f>IF(CONFIGURAR!$L$3=1,IF(CONFIGURAR!$M198="","",IF(CONFIGURAR!$AH198=TRUE,"",IF(CONFIGURAR!N198="","",CONFIGURAR!N198))),IF(CONFIGURAR!$T198="","",IF(CONFIGURAR!U198="","",CONFIGURAR!U198)))</f>
        <v/>
      </c>
      <c r="N204" s="292" t="str">
        <f>IF(CONFIGURAR!$L$3=1,IF(CONFIGURAR!$M198="","",IF(CONFIGURAR!$AH198=TRUE,"",IF(CONFIGURAR!O198="","",CONFIGURAR!O198))),IF(CONFIGURAR!$T198="","",IF(CONFIGURAR!V198="","",CONFIGURAR!V198)))</f>
        <v/>
      </c>
      <c r="O204" s="292" t="str">
        <f>IF(CONFIGURAR!$L$3=1,IF(CONFIGURAR!$M198="","",IF(CONFIGURAR!$AH198=TRUE,"",IF(CONFIGURAR!P198="","",CONFIGURAR!P198))),IF(CONFIGURAR!$T198="","",IF(CONFIGURAR!W198="","",CONFIGURAR!W198)))</f>
        <v/>
      </c>
    </row>
    <row r="205" spans="1:15" ht="18.75" customHeight="1" x14ac:dyDescent="0.2">
      <c r="A205" s="159" t="s">
        <v>94</v>
      </c>
      <c r="B205" s="83" t="s">
        <v>94</v>
      </c>
      <c r="C205" s="83" t="s">
        <v>94</v>
      </c>
      <c r="D205" s="83" t="s">
        <v>94</v>
      </c>
      <c r="J205" s="179"/>
      <c r="K205" s="180"/>
      <c r="L205" s="291" t="str">
        <f>IF(CONFIGURAR!$L$3=1,IF(CONFIGURAR!$M199="","",IF(CONFIGURAR!$AH199=TRUE,"",CONFIGURAR!M199)),IF(CONFIGURAR!$T199="","",CONFIGURAR!T199))</f>
        <v/>
      </c>
      <c r="M205" s="292" t="str">
        <f>IF(CONFIGURAR!$L$3=1,IF(CONFIGURAR!$M199="","",IF(CONFIGURAR!$AH199=TRUE,"",IF(CONFIGURAR!N199="","",CONFIGURAR!N199))),IF(CONFIGURAR!$T199="","",IF(CONFIGURAR!U199="","",CONFIGURAR!U199)))</f>
        <v/>
      </c>
      <c r="N205" s="292" t="str">
        <f>IF(CONFIGURAR!$L$3=1,IF(CONFIGURAR!$M199="","",IF(CONFIGURAR!$AH199=TRUE,"",IF(CONFIGURAR!O199="","",CONFIGURAR!O199))),IF(CONFIGURAR!$T199="","",IF(CONFIGURAR!V199="","",CONFIGURAR!V199)))</f>
        <v/>
      </c>
      <c r="O205" s="292" t="str">
        <f>IF(CONFIGURAR!$L$3=1,IF(CONFIGURAR!$M199="","",IF(CONFIGURAR!$AH199=TRUE,"",IF(CONFIGURAR!P199="","",CONFIGURAR!P199))),IF(CONFIGURAR!$T199="","",IF(CONFIGURAR!W199="","",CONFIGURAR!W199)))</f>
        <v/>
      </c>
    </row>
    <row r="206" spans="1:15" ht="18.75" customHeight="1" x14ac:dyDescent="0.2">
      <c r="A206" s="159" t="s">
        <v>94</v>
      </c>
      <c r="B206" s="83" t="s">
        <v>94</v>
      </c>
      <c r="C206" s="83" t="s">
        <v>94</v>
      </c>
      <c r="D206" s="83" t="s">
        <v>94</v>
      </c>
      <c r="J206" s="179"/>
      <c r="K206" s="180"/>
      <c r="L206" s="291" t="str">
        <f>IF(CONFIGURAR!$L$3=1,IF(CONFIGURAR!$M200="","",IF(CONFIGURAR!$AH200=TRUE,"",CONFIGURAR!M200)),IF(CONFIGURAR!$T200="","",CONFIGURAR!T200))</f>
        <v/>
      </c>
      <c r="M206" s="292" t="str">
        <f>IF(CONFIGURAR!$L$3=1,IF(CONFIGURAR!$M200="","",IF(CONFIGURAR!$AH200=TRUE,"",IF(CONFIGURAR!N200="","",CONFIGURAR!N200))),IF(CONFIGURAR!$T200="","",IF(CONFIGURAR!U200="","",CONFIGURAR!U200)))</f>
        <v/>
      </c>
      <c r="N206" s="292" t="str">
        <f>IF(CONFIGURAR!$L$3=1,IF(CONFIGURAR!$M200="","",IF(CONFIGURAR!$AH200=TRUE,"",IF(CONFIGURAR!O200="","",CONFIGURAR!O200))),IF(CONFIGURAR!$T200="","",IF(CONFIGURAR!V200="","",CONFIGURAR!V200)))</f>
        <v/>
      </c>
      <c r="O206" s="292" t="str">
        <f>IF(CONFIGURAR!$L$3=1,IF(CONFIGURAR!$M200="","",IF(CONFIGURAR!$AH200=TRUE,"",IF(CONFIGURAR!P200="","",CONFIGURAR!P200))),IF(CONFIGURAR!$T200="","",IF(CONFIGURAR!W200="","",CONFIGURAR!W200)))</f>
        <v/>
      </c>
    </row>
    <row r="207" spans="1:15" ht="18.75" customHeight="1" x14ac:dyDescent="0.2">
      <c r="A207" s="159" t="s">
        <v>94</v>
      </c>
      <c r="B207" s="83" t="s">
        <v>94</v>
      </c>
      <c r="C207" s="83" t="s">
        <v>94</v>
      </c>
      <c r="D207" s="83" t="s">
        <v>94</v>
      </c>
      <c r="J207" s="179"/>
      <c r="K207" s="180"/>
      <c r="L207" s="291" t="str">
        <f>IF(CONFIGURAR!$L$3=1,IF(CONFIGURAR!$M201="","",IF(CONFIGURAR!$AH201=TRUE,"",CONFIGURAR!M201)),IF(CONFIGURAR!$T201="","",CONFIGURAR!T201))</f>
        <v/>
      </c>
      <c r="M207" s="292" t="str">
        <f>IF(CONFIGURAR!$L$3=1,IF(CONFIGURAR!$M201="","",IF(CONFIGURAR!$AH201=TRUE,"",IF(CONFIGURAR!N201="","",CONFIGURAR!N201))),IF(CONFIGURAR!$T201="","",IF(CONFIGURAR!U201="","",CONFIGURAR!U201)))</f>
        <v/>
      </c>
      <c r="N207" s="292" t="str">
        <f>IF(CONFIGURAR!$L$3=1,IF(CONFIGURAR!$M201="","",IF(CONFIGURAR!$AH201=TRUE,"",IF(CONFIGURAR!O201="","",CONFIGURAR!O201))),IF(CONFIGURAR!$T201="","",IF(CONFIGURAR!V201="","",CONFIGURAR!V201)))</f>
        <v/>
      </c>
      <c r="O207" s="292" t="str">
        <f>IF(CONFIGURAR!$L$3=1,IF(CONFIGURAR!$M201="","",IF(CONFIGURAR!$AH201=TRUE,"",IF(CONFIGURAR!P201="","",CONFIGURAR!P201))),IF(CONFIGURAR!$T201="","",IF(CONFIGURAR!W201="","",CONFIGURAR!W201)))</f>
        <v/>
      </c>
    </row>
    <row r="208" spans="1:15" ht="18.75" customHeight="1" x14ac:dyDescent="0.2">
      <c r="A208" s="159" t="s">
        <v>94</v>
      </c>
      <c r="B208" s="83" t="s">
        <v>94</v>
      </c>
      <c r="C208" s="83" t="s">
        <v>94</v>
      </c>
      <c r="D208" s="83" t="s">
        <v>94</v>
      </c>
      <c r="J208" s="179"/>
      <c r="K208" s="180"/>
      <c r="L208" s="291" t="str">
        <f>IF(CONFIGURAR!$L$3=1,IF(CONFIGURAR!$M202="","",IF(CONFIGURAR!$AH202=TRUE,"",CONFIGURAR!M202)),IF(CONFIGURAR!$T202="","",CONFIGURAR!T202))</f>
        <v/>
      </c>
      <c r="M208" s="292" t="str">
        <f>IF(CONFIGURAR!$L$3=1,IF(CONFIGURAR!$M202="","",IF(CONFIGURAR!$AH202=TRUE,"",IF(CONFIGURAR!N202="","",CONFIGURAR!N202))),IF(CONFIGURAR!$T202="","",IF(CONFIGURAR!U202="","",CONFIGURAR!U202)))</f>
        <v/>
      </c>
      <c r="N208" s="292" t="str">
        <f>IF(CONFIGURAR!$L$3=1,IF(CONFIGURAR!$M202="","",IF(CONFIGURAR!$AH202=TRUE,"",IF(CONFIGURAR!O202="","",CONFIGURAR!O202))),IF(CONFIGURAR!$T202="","",IF(CONFIGURAR!V202="","",CONFIGURAR!V202)))</f>
        <v/>
      </c>
      <c r="O208" s="292" t="str">
        <f>IF(CONFIGURAR!$L$3=1,IF(CONFIGURAR!$M202="","",IF(CONFIGURAR!$AH202=TRUE,"",IF(CONFIGURAR!P202="","",CONFIGURAR!P202))),IF(CONFIGURAR!$T202="","",IF(CONFIGURAR!W202="","",CONFIGURAR!W202)))</f>
        <v/>
      </c>
    </row>
    <row r="209" spans="1:15" ht="18.75" customHeight="1" x14ac:dyDescent="0.2">
      <c r="A209" s="159" t="s">
        <v>94</v>
      </c>
      <c r="B209" s="83" t="s">
        <v>94</v>
      </c>
      <c r="C209" s="83" t="s">
        <v>94</v>
      </c>
      <c r="D209" s="83" t="s">
        <v>94</v>
      </c>
      <c r="J209" s="179"/>
      <c r="K209" s="180"/>
      <c r="L209" s="291" t="str">
        <f>IF(CONFIGURAR!$L$3=1,IF(CONFIGURAR!$M203="","",IF(CONFIGURAR!$AH203=TRUE,"",CONFIGURAR!M203)),IF(CONFIGURAR!$T203="","",CONFIGURAR!T203))</f>
        <v/>
      </c>
      <c r="M209" s="292" t="str">
        <f>IF(CONFIGURAR!$L$3=1,IF(CONFIGURAR!$M203="","",IF(CONFIGURAR!$AH203=TRUE,"",IF(CONFIGURAR!N203="","",CONFIGURAR!N203))),IF(CONFIGURAR!$T203="","",IF(CONFIGURAR!U203="","",CONFIGURAR!U203)))</f>
        <v/>
      </c>
      <c r="N209" s="292" t="str">
        <f>IF(CONFIGURAR!$L$3=1,IF(CONFIGURAR!$M203="","",IF(CONFIGURAR!$AH203=TRUE,"",IF(CONFIGURAR!O203="","",CONFIGURAR!O203))),IF(CONFIGURAR!$T203="","",IF(CONFIGURAR!V203="","",CONFIGURAR!V203)))</f>
        <v/>
      </c>
      <c r="O209" s="292" t="str">
        <f>IF(CONFIGURAR!$L$3=1,IF(CONFIGURAR!$M203="","",IF(CONFIGURAR!$AH203=TRUE,"",IF(CONFIGURAR!P203="","",CONFIGURAR!P203))),IF(CONFIGURAR!$T203="","",IF(CONFIGURAR!W203="","",CONFIGURAR!W203)))</f>
        <v/>
      </c>
    </row>
    <row r="210" spans="1:15" ht="18.75" customHeight="1" x14ac:dyDescent="0.2">
      <c r="A210" s="159" t="s">
        <v>94</v>
      </c>
      <c r="B210" s="83" t="s">
        <v>94</v>
      </c>
      <c r="C210" s="83" t="s">
        <v>94</v>
      </c>
      <c r="D210" s="83" t="s">
        <v>94</v>
      </c>
      <c r="J210" s="179"/>
      <c r="K210" s="180"/>
      <c r="L210" s="291" t="str">
        <f>IF(CONFIGURAR!$L$3=1,IF(CONFIGURAR!$M204="","",IF(CONFIGURAR!$AH204=TRUE,"",CONFIGURAR!M204)),IF(CONFIGURAR!$T204="","",CONFIGURAR!T204))</f>
        <v/>
      </c>
      <c r="M210" s="292" t="str">
        <f>IF(CONFIGURAR!$L$3=1,IF(CONFIGURAR!$M204="","",IF(CONFIGURAR!$AH204=TRUE,"",IF(CONFIGURAR!N204="","",CONFIGURAR!N204))),IF(CONFIGURAR!$T204="","",IF(CONFIGURAR!U204="","",CONFIGURAR!U204)))</f>
        <v/>
      </c>
      <c r="N210" s="292" t="str">
        <f>IF(CONFIGURAR!$L$3=1,IF(CONFIGURAR!$M204="","",IF(CONFIGURAR!$AH204=TRUE,"",IF(CONFIGURAR!O204="","",CONFIGURAR!O204))),IF(CONFIGURAR!$T204="","",IF(CONFIGURAR!V204="","",CONFIGURAR!V204)))</f>
        <v/>
      </c>
      <c r="O210" s="292" t="str">
        <f>IF(CONFIGURAR!$L$3=1,IF(CONFIGURAR!$M204="","",IF(CONFIGURAR!$AH204=TRUE,"",IF(CONFIGURAR!P204="","",CONFIGURAR!P204))),IF(CONFIGURAR!$T204="","",IF(CONFIGURAR!W204="","",CONFIGURAR!W204)))</f>
        <v/>
      </c>
    </row>
    <row r="211" spans="1:15" ht="18.75" customHeight="1" x14ac:dyDescent="0.2">
      <c r="A211" s="159" t="s">
        <v>94</v>
      </c>
      <c r="B211" s="83" t="s">
        <v>94</v>
      </c>
      <c r="C211" s="83" t="s">
        <v>94</v>
      </c>
      <c r="D211" s="83" t="s">
        <v>94</v>
      </c>
      <c r="J211" s="179"/>
      <c r="K211" s="180"/>
      <c r="L211" s="291" t="str">
        <f>IF(CONFIGURAR!$L$3=1,IF(CONFIGURAR!$M205="","",IF(CONFIGURAR!$AH205=TRUE,"",CONFIGURAR!M205)),IF(CONFIGURAR!$T205="","",CONFIGURAR!T205))</f>
        <v/>
      </c>
      <c r="M211" s="292" t="str">
        <f>IF(CONFIGURAR!$L$3=1,IF(CONFIGURAR!$M205="","",IF(CONFIGURAR!$AH205=TRUE,"",IF(CONFIGURAR!N205="","",CONFIGURAR!N205))),IF(CONFIGURAR!$T205="","",IF(CONFIGURAR!U205="","",CONFIGURAR!U205)))</f>
        <v/>
      </c>
      <c r="N211" s="292" t="str">
        <f>IF(CONFIGURAR!$L$3=1,IF(CONFIGURAR!$M205="","",IF(CONFIGURAR!$AH205=TRUE,"",IF(CONFIGURAR!O205="","",CONFIGURAR!O205))),IF(CONFIGURAR!$T205="","",IF(CONFIGURAR!V205="","",CONFIGURAR!V205)))</f>
        <v/>
      </c>
      <c r="O211" s="292" t="str">
        <f>IF(CONFIGURAR!$L$3=1,IF(CONFIGURAR!$M205="","",IF(CONFIGURAR!$AH205=TRUE,"",IF(CONFIGURAR!P205="","",CONFIGURAR!P205))),IF(CONFIGURAR!$T205="","",IF(CONFIGURAR!W205="","",CONFIGURAR!W205)))</f>
        <v/>
      </c>
    </row>
    <row r="212" spans="1:15" ht="18.75" customHeight="1" x14ac:dyDescent="0.2">
      <c r="A212" s="159" t="s">
        <v>94</v>
      </c>
      <c r="B212" s="83" t="s">
        <v>94</v>
      </c>
      <c r="C212" s="83" t="s">
        <v>94</v>
      </c>
      <c r="D212" s="83" t="s">
        <v>94</v>
      </c>
      <c r="J212" s="179"/>
      <c r="K212" s="180"/>
      <c r="L212" s="291" t="str">
        <f>IF(CONFIGURAR!$L$3=1,IF(CONFIGURAR!$M206="","",IF(CONFIGURAR!$AH206=TRUE,"",CONFIGURAR!M206)),IF(CONFIGURAR!$T206="","",CONFIGURAR!T206))</f>
        <v/>
      </c>
      <c r="M212" s="292" t="str">
        <f>IF(CONFIGURAR!$L$3=1,IF(CONFIGURAR!$M206="","",IF(CONFIGURAR!$AH206=TRUE,"",IF(CONFIGURAR!N206="","",CONFIGURAR!N206))),IF(CONFIGURAR!$T206="","",IF(CONFIGURAR!U206="","",CONFIGURAR!U206)))</f>
        <v/>
      </c>
      <c r="N212" s="292" t="str">
        <f>IF(CONFIGURAR!$L$3=1,IF(CONFIGURAR!$M206="","",IF(CONFIGURAR!$AH206=TRUE,"",IF(CONFIGURAR!O206="","",CONFIGURAR!O206))),IF(CONFIGURAR!$T206="","",IF(CONFIGURAR!V206="","",CONFIGURAR!V206)))</f>
        <v/>
      </c>
      <c r="O212" s="292" t="str">
        <f>IF(CONFIGURAR!$L$3=1,IF(CONFIGURAR!$M206="","",IF(CONFIGURAR!$AH206=TRUE,"",IF(CONFIGURAR!P206="","",CONFIGURAR!P206))),IF(CONFIGURAR!$T206="","",IF(CONFIGURAR!W206="","",CONFIGURAR!W206)))</f>
        <v/>
      </c>
    </row>
    <row r="213" spans="1:15" ht="18.75" customHeight="1" x14ac:dyDescent="0.2">
      <c r="A213" s="159" t="s">
        <v>94</v>
      </c>
      <c r="B213" s="83" t="s">
        <v>94</v>
      </c>
      <c r="C213" s="83" t="s">
        <v>94</v>
      </c>
      <c r="D213" s="83" t="s">
        <v>94</v>
      </c>
      <c r="J213" s="179"/>
      <c r="K213" s="180"/>
      <c r="L213" s="291" t="str">
        <f>IF(CONFIGURAR!$L$3=1,IF(CONFIGURAR!$M207="","",IF(CONFIGURAR!$AH207=TRUE,"",CONFIGURAR!M207)),IF(CONFIGURAR!$T207="","",CONFIGURAR!T207))</f>
        <v/>
      </c>
      <c r="M213" s="292" t="str">
        <f>IF(CONFIGURAR!$L$3=1,IF(CONFIGURAR!$M207="","",IF(CONFIGURAR!$AH207=TRUE,"",IF(CONFIGURAR!N207="","",CONFIGURAR!N207))),IF(CONFIGURAR!$T207="","",IF(CONFIGURAR!U207="","",CONFIGURAR!U207)))</f>
        <v/>
      </c>
      <c r="N213" s="292" t="str">
        <f>IF(CONFIGURAR!$L$3=1,IF(CONFIGURAR!$M207="","",IF(CONFIGURAR!$AH207=TRUE,"",IF(CONFIGURAR!O207="","",CONFIGURAR!O207))),IF(CONFIGURAR!$T207="","",IF(CONFIGURAR!V207="","",CONFIGURAR!V207)))</f>
        <v/>
      </c>
      <c r="O213" s="292" t="str">
        <f>IF(CONFIGURAR!$L$3=1,IF(CONFIGURAR!$M207="","",IF(CONFIGURAR!$AH207=TRUE,"",IF(CONFIGURAR!P207="","",CONFIGURAR!P207))),IF(CONFIGURAR!$T207="","",IF(CONFIGURAR!W207="","",CONFIGURAR!W207)))</f>
        <v/>
      </c>
    </row>
    <row r="214" spans="1:15" ht="18.75" customHeight="1" x14ac:dyDescent="0.2">
      <c r="A214" s="159" t="s">
        <v>94</v>
      </c>
      <c r="B214" s="83" t="s">
        <v>94</v>
      </c>
      <c r="C214" s="83" t="s">
        <v>94</v>
      </c>
      <c r="D214" s="83" t="s">
        <v>94</v>
      </c>
      <c r="J214" s="179"/>
      <c r="K214" s="180"/>
      <c r="L214" s="291" t="str">
        <f>IF(CONFIGURAR!$L$3=1,IF(CONFIGURAR!$M208="","",IF(CONFIGURAR!$AH208=TRUE,"",CONFIGURAR!M208)),IF(CONFIGURAR!$T208="","",CONFIGURAR!T208))</f>
        <v/>
      </c>
      <c r="M214" s="292" t="str">
        <f>IF(CONFIGURAR!$L$3=1,IF(CONFIGURAR!$M208="","",IF(CONFIGURAR!$AH208=TRUE,"",IF(CONFIGURAR!N208="","",CONFIGURAR!N208))),IF(CONFIGURAR!$T208="","",IF(CONFIGURAR!U208="","",CONFIGURAR!U208)))</f>
        <v/>
      </c>
      <c r="N214" s="292" t="str">
        <f>IF(CONFIGURAR!$L$3=1,IF(CONFIGURAR!$M208="","",IF(CONFIGURAR!$AH208=TRUE,"",IF(CONFIGURAR!O208="","",CONFIGURAR!O208))),IF(CONFIGURAR!$T208="","",IF(CONFIGURAR!V208="","",CONFIGURAR!V208)))</f>
        <v/>
      </c>
      <c r="O214" s="292" t="str">
        <f>IF(CONFIGURAR!$L$3=1,IF(CONFIGURAR!$M208="","",IF(CONFIGURAR!$AH208=TRUE,"",IF(CONFIGURAR!P208="","",CONFIGURAR!P208))),IF(CONFIGURAR!$T208="","",IF(CONFIGURAR!W208="","",CONFIGURAR!W208)))</f>
        <v/>
      </c>
    </row>
    <row r="215" spans="1:15" ht="18.75" customHeight="1" x14ac:dyDescent="0.2">
      <c r="A215" s="159" t="s">
        <v>94</v>
      </c>
      <c r="B215" s="83" t="s">
        <v>94</v>
      </c>
      <c r="C215" s="83" t="s">
        <v>94</v>
      </c>
      <c r="D215" s="83" t="s">
        <v>94</v>
      </c>
      <c r="J215" s="179"/>
      <c r="K215" s="180"/>
      <c r="L215" s="291" t="str">
        <f>IF(CONFIGURAR!$L$3=1,IF(CONFIGURAR!$M209="","",IF(CONFIGURAR!$AH209=TRUE,"",CONFIGURAR!M209)),IF(CONFIGURAR!$T209="","",CONFIGURAR!T209))</f>
        <v/>
      </c>
      <c r="M215" s="292" t="str">
        <f>IF(CONFIGURAR!$L$3=1,IF(CONFIGURAR!$M209="","",IF(CONFIGURAR!$AH209=TRUE,"",IF(CONFIGURAR!N209="","",CONFIGURAR!N209))),IF(CONFIGURAR!$T209="","",IF(CONFIGURAR!U209="","",CONFIGURAR!U209)))</f>
        <v/>
      </c>
      <c r="N215" s="292" t="str">
        <f>IF(CONFIGURAR!$L$3=1,IF(CONFIGURAR!$M209="","",IF(CONFIGURAR!$AH209=TRUE,"",IF(CONFIGURAR!O209="","",CONFIGURAR!O209))),IF(CONFIGURAR!$T209="","",IF(CONFIGURAR!V209="","",CONFIGURAR!V209)))</f>
        <v/>
      </c>
      <c r="O215" s="292" t="str">
        <f>IF(CONFIGURAR!$L$3=1,IF(CONFIGURAR!$M209="","",IF(CONFIGURAR!$AH209=TRUE,"",IF(CONFIGURAR!P209="","",CONFIGURAR!P209))),IF(CONFIGURAR!$T209="","",IF(CONFIGURAR!W209="","",CONFIGURAR!W209)))</f>
        <v/>
      </c>
    </row>
    <row r="216" spans="1:15" ht="18.75" customHeight="1" x14ac:dyDescent="0.2">
      <c r="A216" s="159" t="s">
        <v>94</v>
      </c>
      <c r="B216" s="83" t="s">
        <v>94</v>
      </c>
      <c r="C216" s="83" t="s">
        <v>94</v>
      </c>
      <c r="D216" s="83" t="s">
        <v>94</v>
      </c>
      <c r="J216" s="179"/>
      <c r="K216" s="180"/>
      <c r="L216" s="291" t="str">
        <f>IF(CONFIGURAR!$L$3=1,IF(CONFIGURAR!$M210="","",IF(CONFIGURAR!$AH210=TRUE,"",CONFIGURAR!M210)),IF(CONFIGURAR!$T210="","",CONFIGURAR!T210))</f>
        <v/>
      </c>
      <c r="M216" s="292" t="str">
        <f>IF(CONFIGURAR!$L$3=1,IF(CONFIGURAR!$M210="","",IF(CONFIGURAR!$AH210=TRUE,"",IF(CONFIGURAR!N210="","",CONFIGURAR!N210))),IF(CONFIGURAR!$T210="","",IF(CONFIGURAR!U210="","",CONFIGURAR!U210)))</f>
        <v/>
      </c>
      <c r="N216" s="292" t="str">
        <f>IF(CONFIGURAR!$L$3=1,IF(CONFIGURAR!$M210="","",IF(CONFIGURAR!$AH210=TRUE,"",IF(CONFIGURAR!O210="","",CONFIGURAR!O210))),IF(CONFIGURAR!$T210="","",IF(CONFIGURAR!V210="","",CONFIGURAR!V210)))</f>
        <v/>
      </c>
      <c r="O216" s="292" t="str">
        <f>IF(CONFIGURAR!$L$3=1,IF(CONFIGURAR!$M210="","",IF(CONFIGURAR!$AH210=TRUE,"",IF(CONFIGURAR!P210="","",CONFIGURAR!P210))),IF(CONFIGURAR!$T210="","",IF(CONFIGURAR!W210="","",CONFIGURAR!W210)))</f>
        <v/>
      </c>
    </row>
    <row r="217" spans="1:15" ht="18.75" customHeight="1" x14ac:dyDescent="0.2">
      <c r="A217" s="159" t="s">
        <v>94</v>
      </c>
      <c r="B217" s="83" t="s">
        <v>94</v>
      </c>
      <c r="C217" s="83" t="s">
        <v>94</v>
      </c>
      <c r="D217" s="83" t="s">
        <v>94</v>
      </c>
      <c r="J217" s="179"/>
      <c r="K217" s="180"/>
      <c r="L217" s="291" t="str">
        <f>IF(CONFIGURAR!$L$3=1,IF(CONFIGURAR!$M211="","",IF(CONFIGURAR!$AH211=TRUE,"",CONFIGURAR!M211)),IF(CONFIGURAR!$T211="","",CONFIGURAR!T211))</f>
        <v/>
      </c>
      <c r="M217" s="292" t="str">
        <f>IF(CONFIGURAR!$L$3=1,IF(CONFIGURAR!$M211="","",IF(CONFIGURAR!$AH211=TRUE,"",IF(CONFIGURAR!N211="","",CONFIGURAR!N211))),IF(CONFIGURAR!$T211="","",IF(CONFIGURAR!U211="","",CONFIGURAR!U211)))</f>
        <v/>
      </c>
      <c r="N217" s="292" t="str">
        <f>IF(CONFIGURAR!$L$3=1,IF(CONFIGURAR!$M211="","",IF(CONFIGURAR!$AH211=TRUE,"",IF(CONFIGURAR!O211="","",CONFIGURAR!O211))),IF(CONFIGURAR!$T211="","",IF(CONFIGURAR!V211="","",CONFIGURAR!V211)))</f>
        <v/>
      </c>
      <c r="O217" s="292" t="str">
        <f>IF(CONFIGURAR!$L$3=1,IF(CONFIGURAR!$M211="","",IF(CONFIGURAR!$AH211=TRUE,"",IF(CONFIGURAR!P211="","",CONFIGURAR!P211))),IF(CONFIGURAR!$T211="","",IF(CONFIGURAR!W211="","",CONFIGURAR!W211)))</f>
        <v/>
      </c>
    </row>
    <row r="218" spans="1:15" ht="18.75" customHeight="1" x14ac:dyDescent="0.2">
      <c r="A218" s="159" t="s">
        <v>94</v>
      </c>
      <c r="B218" s="83" t="s">
        <v>94</v>
      </c>
      <c r="C218" s="83" t="s">
        <v>94</v>
      </c>
      <c r="D218" s="83" t="s">
        <v>94</v>
      </c>
      <c r="J218" s="179"/>
      <c r="K218" s="180"/>
      <c r="L218" s="291" t="str">
        <f>IF(CONFIGURAR!$L$3=1,IF(CONFIGURAR!$M212="","",IF(CONFIGURAR!$AH212=TRUE,"",CONFIGURAR!M212)),IF(CONFIGURAR!$T212="","",CONFIGURAR!T212))</f>
        <v/>
      </c>
      <c r="M218" s="292" t="str">
        <f>IF(CONFIGURAR!$L$3=1,IF(CONFIGURAR!$M212="","",IF(CONFIGURAR!$AH212=TRUE,"",IF(CONFIGURAR!N212="","",CONFIGURAR!N212))),IF(CONFIGURAR!$T212="","",IF(CONFIGURAR!U212="","",CONFIGURAR!U212)))</f>
        <v/>
      </c>
      <c r="N218" s="292" t="str">
        <f>IF(CONFIGURAR!$L$3=1,IF(CONFIGURAR!$M212="","",IF(CONFIGURAR!$AH212=TRUE,"",IF(CONFIGURAR!O212="","",CONFIGURAR!O212))),IF(CONFIGURAR!$T212="","",IF(CONFIGURAR!V212="","",CONFIGURAR!V212)))</f>
        <v/>
      </c>
      <c r="O218" s="292" t="str">
        <f>IF(CONFIGURAR!$L$3=1,IF(CONFIGURAR!$M212="","",IF(CONFIGURAR!$AH212=TRUE,"",IF(CONFIGURAR!P212="","",CONFIGURAR!P212))),IF(CONFIGURAR!$T212="","",IF(CONFIGURAR!W212="","",CONFIGURAR!W212)))</f>
        <v/>
      </c>
    </row>
    <row r="219" spans="1:15" ht="18.75" customHeight="1" x14ac:dyDescent="0.2">
      <c r="A219" s="159" t="s">
        <v>94</v>
      </c>
      <c r="B219" s="83" t="s">
        <v>94</v>
      </c>
      <c r="C219" s="83" t="s">
        <v>94</v>
      </c>
      <c r="D219" s="83" t="s">
        <v>94</v>
      </c>
      <c r="J219" s="179"/>
      <c r="K219" s="180"/>
      <c r="L219" s="291" t="str">
        <f>IF(CONFIGURAR!$L$3=1,IF(CONFIGURAR!$M213="","",IF(CONFIGURAR!$AH213=TRUE,"",CONFIGURAR!M213)),IF(CONFIGURAR!$T213="","",CONFIGURAR!T213))</f>
        <v/>
      </c>
      <c r="M219" s="292" t="str">
        <f>IF(CONFIGURAR!$L$3=1,IF(CONFIGURAR!$M213="","",IF(CONFIGURAR!$AH213=TRUE,"",IF(CONFIGURAR!N213="","",CONFIGURAR!N213))),IF(CONFIGURAR!$T213="","",IF(CONFIGURAR!U213="","",CONFIGURAR!U213)))</f>
        <v/>
      </c>
      <c r="N219" s="292" t="str">
        <f>IF(CONFIGURAR!$L$3=1,IF(CONFIGURAR!$M213="","",IF(CONFIGURAR!$AH213=TRUE,"",IF(CONFIGURAR!O213="","",CONFIGURAR!O213))),IF(CONFIGURAR!$T213="","",IF(CONFIGURAR!V213="","",CONFIGURAR!V213)))</f>
        <v/>
      </c>
      <c r="O219" s="292" t="str">
        <f>IF(CONFIGURAR!$L$3=1,IF(CONFIGURAR!$M213="","",IF(CONFIGURAR!$AH213=TRUE,"",IF(CONFIGURAR!P213="","",CONFIGURAR!P213))),IF(CONFIGURAR!$T213="","",IF(CONFIGURAR!W213="","",CONFIGURAR!W213)))</f>
        <v/>
      </c>
    </row>
    <row r="220" spans="1:15" ht="18.75" customHeight="1" x14ac:dyDescent="0.2">
      <c r="A220" s="159" t="s">
        <v>94</v>
      </c>
      <c r="B220" s="83" t="s">
        <v>94</v>
      </c>
      <c r="C220" s="83" t="s">
        <v>94</v>
      </c>
      <c r="D220" s="83" t="s">
        <v>94</v>
      </c>
      <c r="J220" s="179"/>
      <c r="K220" s="180"/>
      <c r="L220" s="291" t="str">
        <f>IF(CONFIGURAR!$L$3=1,IF(CONFIGURAR!$M214="","",IF(CONFIGURAR!$AH214=TRUE,"",CONFIGURAR!M214)),IF(CONFIGURAR!$T214="","",CONFIGURAR!T214))</f>
        <v/>
      </c>
      <c r="M220" s="292" t="str">
        <f>IF(CONFIGURAR!$L$3=1,IF(CONFIGURAR!$M214="","",IF(CONFIGURAR!$AH214=TRUE,"",IF(CONFIGURAR!N214="","",CONFIGURAR!N214))),IF(CONFIGURAR!$T214="","",IF(CONFIGURAR!U214="","",CONFIGURAR!U214)))</f>
        <v/>
      </c>
      <c r="N220" s="292" t="str">
        <f>IF(CONFIGURAR!$L$3=1,IF(CONFIGURAR!$M214="","",IF(CONFIGURAR!$AH214=TRUE,"",IF(CONFIGURAR!O214="","",CONFIGURAR!O214))),IF(CONFIGURAR!$T214="","",IF(CONFIGURAR!V214="","",CONFIGURAR!V214)))</f>
        <v/>
      </c>
      <c r="O220" s="292" t="str">
        <f>IF(CONFIGURAR!$L$3=1,IF(CONFIGURAR!$M214="","",IF(CONFIGURAR!$AH214=TRUE,"",IF(CONFIGURAR!P214="","",CONFIGURAR!P214))),IF(CONFIGURAR!$T214="","",IF(CONFIGURAR!W214="","",CONFIGURAR!W214)))</f>
        <v/>
      </c>
    </row>
    <row r="221" spans="1:15" ht="18.75" customHeight="1" x14ac:dyDescent="0.2">
      <c r="A221" s="159" t="s">
        <v>94</v>
      </c>
      <c r="B221" s="83" t="s">
        <v>94</v>
      </c>
      <c r="C221" s="83" t="s">
        <v>94</v>
      </c>
      <c r="D221" s="83" t="s">
        <v>94</v>
      </c>
      <c r="J221" s="179"/>
      <c r="K221" s="180"/>
      <c r="L221" s="291" t="str">
        <f>IF(CONFIGURAR!$L$3=1,IF(CONFIGURAR!$M215="","",IF(CONFIGURAR!$AH215=TRUE,"",CONFIGURAR!M215)),IF(CONFIGURAR!$T215="","",CONFIGURAR!T215))</f>
        <v/>
      </c>
      <c r="M221" s="292" t="str">
        <f>IF(CONFIGURAR!$L$3=1,IF(CONFIGURAR!$M215="","",IF(CONFIGURAR!$AH215=TRUE,"",IF(CONFIGURAR!N215="","",CONFIGURAR!N215))),IF(CONFIGURAR!$T215="","",IF(CONFIGURAR!U215="","",CONFIGURAR!U215)))</f>
        <v/>
      </c>
      <c r="N221" s="292" t="str">
        <f>IF(CONFIGURAR!$L$3=1,IF(CONFIGURAR!$M215="","",IF(CONFIGURAR!$AH215=TRUE,"",IF(CONFIGURAR!O215="","",CONFIGURAR!O215))),IF(CONFIGURAR!$T215="","",IF(CONFIGURAR!V215="","",CONFIGURAR!V215)))</f>
        <v/>
      </c>
      <c r="O221" s="292" t="str">
        <f>IF(CONFIGURAR!$L$3=1,IF(CONFIGURAR!$M215="","",IF(CONFIGURAR!$AH215=TRUE,"",IF(CONFIGURAR!P215="","",CONFIGURAR!P215))),IF(CONFIGURAR!$T215="","",IF(CONFIGURAR!W215="","",CONFIGURAR!W215)))</f>
        <v/>
      </c>
    </row>
    <row r="222" spans="1:15" ht="18.75" customHeight="1" x14ac:dyDescent="0.2">
      <c r="A222" s="159" t="s">
        <v>94</v>
      </c>
      <c r="B222" s="83" t="s">
        <v>94</v>
      </c>
      <c r="C222" s="83" t="s">
        <v>94</v>
      </c>
      <c r="D222" s="83" t="s">
        <v>94</v>
      </c>
      <c r="J222" s="179"/>
      <c r="K222" s="180"/>
      <c r="L222" s="291" t="str">
        <f>IF(CONFIGURAR!$L$3=1,IF(CONFIGURAR!$M216="","",IF(CONFIGURAR!$AH216=TRUE,"",CONFIGURAR!M216)),IF(CONFIGURAR!$T216="","",CONFIGURAR!T216))</f>
        <v/>
      </c>
      <c r="M222" s="292" t="str">
        <f>IF(CONFIGURAR!$L$3=1,IF(CONFIGURAR!$M216="","",IF(CONFIGURAR!$AH216=TRUE,"",IF(CONFIGURAR!N216="","",CONFIGURAR!N216))),IF(CONFIGURAR!$T216="","",IF(CONFIGURAR!U216="","",CONFIGURAR!U216)))</f>
        <v/>
      </c>
      <c r="N222" s="292" t="str">
        <f>IF(CONFIGURAR!$L$3=1,IF(CONFIGURAR!$M216="","",IF(CONFIGURAR!$AH216=TRUE,"",IF(CONFIGURAR!O216="","",CONFIGURAR!O216))),IF(CONFIGURAR!$T216="","",IF(CONFIGURAR!V216="","",CONFIGURAR!V216)))</f>
        <v/>
      </c>
      <c r="O222" s="292" t="str">
        <f>IF(CONFIGURAR!$L$3=1,IF(CONFIGURAR!$M216="","",IF(CONFIGURAR!$AH216=TRUE,"",IF(CONFIGURAR!P216="","",CONFIGURAR!P216))),IF(CONFIGURAR!$T216="","",IF(CONFIGURAR!W216="","",CONFIGURAR!W216)))</f>
        <v/>
      </c>
    </row>
    <row r="223" spans="1:15" ht="18.75" customHeight="1" x14ac:dyDescent="0.2">
      <c r="A223" s="159" t="s">
        <v>94</v>
      </c>
      <c r="B223" s="83" t="s">
        <v>94</v>
      </c>
      <c r="C223" s="83" t="s">
        <v>94</v>
      </c>
      <c r="D223" s="83" t="s">
        <v>94</v>
      </c>
      <c r="J223" s="179"/>
      <c r="K223" s="180"/>
      <c r="L223" s="291" t="str">
        <f>IF(CONFIGURAR!$L$3=1,IF(CONFIGURAR!$M217="","",IF(CONFIGURAR!$AH217=TRUE,"",CONFIGURAR!M217)),IF(CONFIGURAR!$T217="","",CONFIGURAR!T217))</f>
        <v/>
      </c>
      <c r="M223" s="292" t="str">
        <f>IF(CONFIGURAR!$L$3=1,IF(CONFIGURAR!$M217="","",IF(CONFIGURAR!$AH217=TRUE,"",IF(CONFIGURAR!N217="","",CONFIGURAR!N217))),IF(CONFIGURAR!$T217="","",IF(CONFIGURAR!U217="","",CONFIGURAR!U217)))</f>
        <v/>
      </c>
      <c r="N223" s="292" t="str">
        <f>IF(CONFIGURAR!$L$3=1,IF(CONFIGURAR!$M217="","",IF(CONFIGURAR!$AH217=TRUE,"",IF(CONFIGURAR!O217="","",CONFIGURAR!O217))),IF(CONFIGURAR!$T217="","",IF(CONFIGURAR!V217="","",CONFIGURAR!V217)))</f>
        <v/>
      </c>
      <c r="O223" s="292" t="str">
        <f>IF(CONFIGURAR!$L$3=1,IF(CONFIGURAR!$M217="","",IF(CONFIGURAR!$AH217=TRUE,"",IF(CONFIGURAR!P217="","",CONFIGURAR!P217))),IF(CONFIGURAR!$T217="","",IF(CONFIGURAR!W217="","",CONFIGURAR!W217)))</f>
        <v/>
      </c>
    </row>
    <row r="224" spans="1:15" ht="18.75" customHeight="1" x14ac:dyDescent="0.2">
      <c r="A224" s="159" t="s">
        <v>94</v>
      </c>
      <c r="B224" s="83" t="s">
        <v>94</v>
      </c>
      <c r="C224" s="83" t="s">
        <v>94</v>
      </c>
      <c r="D224" s="83" t="s">
        <v>94</v>
      </c>
      <c r="J224" s="179"/>
      <c r="K224" s="180"/>
      <c r="L224" s="291" t="str">
        <f>IF(CONFIGURAR!$L$3=1,IF(CONFIGURAR!$M218="","",IF(CONFIGURAR!$AH218=TRUE,"",CONFIGURAR!M218)),IF(CONFIGURAR!$T218="","",CONFIGURAR!T218))</f>
        <v/>
      </c>
      <c r="M224" s="292" t="str">
        <f>IF(CONFIGURAR!$L$3=1,IF(CONFIGURAR!$M218="","",IF(CONFIGURAR!$AH218=TRUE,"",IF(CONFIGURAR!N218="","",CONFIGURAR!N218))),IF(CONFIGURAR!$T218="","",IF(CONFIGURAR!U218="","",CONFIGURAR!U218)))</f>
        <v/>
      </c>
      <c r="N224" s="292" t="str">
        <f>IF(CONFIGURAR!$L$3=1,IF(CONFIGURAR!$M218="","",IF(CONFIGURAR!$AH218=TRUE,"",IF(CONFIGURAR!O218="","",CONFIGURAR!O218))),IF(CONFIGURAR!$T218="","",IF(CONFIGURAR!V218="","",CONFIGURAR!V218)))</f>
        <v/>
      </c>
      <c r="O224" s="292" t="str">
        <f>IF(CONFIGURAR!$L$3=1,IF(CONFIGURAR!$M218="","",IF(CONFIGURAR!$AH218=TRUE,"",IF(CONFIGURAR!P218="","",CONFIGURAR!P218))),IF(CONFIGURAR!$T218="","",IF(CONFIGURAR!W218="","",CONFIGURAR!W218)))</f>
        <v/>
      </c>
    </row>
    <row r="225" spans="1:15" ht="18.75" customHeight="1" x14ac:dyDescent="0.2">
      <c r="A225" s="159" t="s">
        <v>94</v>
      </c>
      <c r="B225" s="83" t="s">
        <v>94</v>
      </c>
      <c r="C225" s="83" t="s">
        <v>94</v>
      </c>
      <c r="D225" s="83" t="s">
        <v>94</v>
      </c>
      <c r="J225" s="179"/>
      <c r="K225" s="180"/>
      <c r="L225" s="291" t="str">
        <f>IF(CONFIGURAR!$L$3=1,IF(CONFIGURAR!$M219="","",IF(CONFIGURAR!$AH219=TRUE,"",CONFIGURAR!M219)),IF(CONFIGURAR!$T219="","",CONFIGURAR!T219))</f>
        <v/>
      </c>
      <c r="M225" s="292" t="str">
        <f>IF(CONFIGURAR!$L$3=1,IF(CONFIGURAR!$M219="","",IF(CONFIGURAR!$AH219=TRUE,"",IF(CONFIGURAR!N219="","",CONFIGURAR!N219))),IF(CONFIGURAR!$T219="","",IF(CONFIGURAR!U219="","",CONFIGURAR!U219)))</f>
        <v/>
      </c>
      <c r="N225" s="292" t="str">
        <f>IF(CONFIGURAR!$L$3=1,IF(CONFIGURAR!$M219="","",IF(CONFIGURAR!$AH219=TRUE,"",IF(CONFIGURAR!O219="","",CONFIGURAR!O219))),IF(CONFIGURAR!$T219="","",IF(CONFIGURAR!V219="","",CONFIGURAR!V219)))</f>
        <v/>
      </c>
      <c r="O225" s="292" t="str">
        <f>IF(CONFIGURAR!$L$3=1,IF(CONFIGURAR!$M219="","",IF(CONFIGURAR!$AH219=TRUE,"",IF(CONFIGURAR!P219="","",CONFIGURAR!P219))),IF(CONFIGURAR!$T219="","",IF(CONFIGURAR!W219="","",CONFIGURAR!W219)))</f>
        <v/>
      </c>
    </row>
    <row r="226" spans="1:15" ht="18.75" customHeight="1" x14ac:dyDescent="0.2">
      <c r="A226" s="159" t="s">
        <v>94</v>
      </c>
      <c r="B226" s="83" t="s">
        <v>94</v>
      </c>
      <c r="C226" s="83" t="s">
        <v>94</v>
      </c>
      <c r="D226" s="83" t="s">
        <v>94</v>
      </c>
      <c r="J226" s="179"/>
      <c r="K226" s="180"/>
      <c r="L226" s="291" t="str">
        <f>IF(CONFIGURAR!$L$3=1,IF(CONFIGURAR!$M220="","",IF(CONFIGURAR!$AH220=TRUE,"",CONFIGURAR!M220)),IF(CONFIGURAR!$T220="","",CONFIGURAR!T220))</f>
        <v/>
      </c>
      <c r="M226" s="292" t="str">
        <f>IF(CONFIGURAR!$L$3=1,IF(CONFIGURAR!$M220="","",IF(CONFIGURAR!$AH220=TRUE,"",IF(CONFIGURAR!N220="","",CONFIGURAR!N220))),IF(CONFIGURAR!$T220="","",IF(CONFIGURAR!U220="","",CONFIGURAR!U220)))</f>
        <v/>
      </c>
      <c r="N226" s="292" t="str">
        <f>IF(CONFIGURAR!$L$3=1,IF(CONFIGURAR!$M220="","",IF(CONFIGURAR!$AH220=TRUE,"",IF(CONFIGURAR!O220="","",CONFIGURAR!O220))),IF(CONFIGURAR!$T220="","",IF(CONFIGURAR!V220="","",CONFIGURAR!V220)))</f>
        <v/>
      </c>
      <c r="O226" s="292" t="str">
        <f>IF(CONFIGURAR!$L$3=1,IF(CONFIGURAR!$M220="","",IF(CONFIGURAR!$AH220=TRUE,"",IF(CONFIGURAR!P220="","",CONFIGURAR!P220))),IF(CONFIGURAR!$T220="","",IF(CONFIGURAR!W220="","",CONFIGURAR!W220)))</f>
        <v/>
      </c>
    </row>
    <row r="227" spans="1:15" ht="18.75" customHeight="1" x14ac:dyDescent="0.2">
      <c r="A227" s="159" t="s">
        <v>94</v>
      </c>
      <c r="B227" s="83" t="s">
        <v>94</v>
      </c>
      <c r="C227" s="83" t="s">
        <v>94</v>
      </c>
      <c r="D227" s="83" t="s">
        <v>94</v>
      </c>
      <c r="J227" s="179"/>
      <c r="K227" s="180"/>
      <c r="L227" s="291" t="str">
        <f>IF(CONFIGURAR!$L$3=1,IF(CONFIGURAR!$M221="","",IF(CONFIGURAR!$AH221=TRUE,"",CONFIGURAR!M221)),IF(CONFIGURAR!$T221="","",CONFIGURAR!T221))</f>
        <v/>
      </c>
      <c r="M227" s="292" t="str">
        <f>IF(CONFIGURAR!$L$3=1,IF(CONFIGURAR!$M221="","",IF(CONFIGURAR!$AH221=TRUE,"",IF(CONFIGURAR!N221="","",CONFIGURAR!N221))),IF(CONFIGURAR!$T221="","",IF(CONFIGURAR!U221="","",CONFIGURAR!U221)))</f>
        <v/>
      </c>
      <c r="N227" s="292" t="str">
        <f>IF(CONFIGURAR!$L$3=1,IF(CONFIGURAR!$M221="","",IF(CONFIGURAR!$AH221=TRUE,"",IF(CONFIGURAR!O221="","",CONFIGURAR!O221))),IF(CONFIGURAR!$T221="","",IF(CONFIGURAR!V221="","",CONFIGURAR!V221)))</f>
        <v/>
      </c>
      <c r="O227" s="292" t="str">
        <f>IF(CONFIGURAR!$L$3=1,IF(CONFIGURAR!$M221="","",IF(CONFIGURAR!$AH221=TRUE,"",IF(CONFIGURAR!P221="","",CONFIGURAR!P221))),IF(CONFIGURAR!$T221="","",IF(CONFIGURAR!W221="","",CONFIGURAR!W221)))</f>
        <v/>
      </c>
    </row>
    <row r="228" spans="1:15" ht="18.75" customHeight="1" x14ac:dyDescent="0.2">
      <c r="A228" s="159" t="s">
        <v>94</v>
      </c>
      <c r="B228" s="83" t="s">
        <v>94</v>
      </c>
      <c r="C228" s="83" t="s">
        <v>94</v>
      </c>
      <c r="D228" s="83" t="s">
        <v>94</v>
      </c>
      <c r="J228" s="179"/>
      <c r="K228" s="180"/>
      <c r="L228" s="291" t="str">
        <f>IF(CONFIGURAR!$L$3=1,IF(CONFIGURAR!$M222="","",IF(CONFIGURAR!$AH222=TRUE,"",CONFIGURAR!M222)),IF(CONFIGURAR!$T222="","",CONFIGURAR!T222))</f>
        <v/>
      </c>
      <c r="M228" s="292" t="str">
        <f>IF(CONFIGURAR!$L$3=1,IF(CONFIGURAR!$M222="","",IF(CONFIGURAR!$AH222=TRUE,"",IF(CONFIGURAR!N222="","",CONFIGURAR!N222))),IF(CONFIGURAR!$T222="","",IF(CONFIGURAR!U222="","",CONFIGURAR!U222)))</f>
        <v/>
      </c>
      <c r="N228" s="292" t="str">
        <f>IF(CONFIGURAR!$L$3=1,IF(CONFIGURAR!$M222="","",IF(CONFIGURAR!$AH222=TRUE,"",IF(CONFIGURAR!O222="","",CONFIGURAR!O222))),IF(CONFIGURAR!$T222="","",IF(CONFIGURAR!V222="","",CONFIGURAR!V222)))</f>
        <v/>
      </c>
      <c r="O228" s="292" t="str">
        <f>IF(CONFIGURAR!$L$3=1,IF(CONFIGURAR!$M222="","",IF(CONFIGURAR!$AH222=TRUE,"",IF(CONFIGURAR!P222="","",CONFIGURAR!P222))),IF(CONFIGURAR!$T222="","",IF(CONFIGURAR!W222="","",CONFIGURAR!W222)))</f>
        <v/>
      </c>
    </row>
    <row r="229" spans="1:15" ht="18.75" customHeight="1" x14ac:dyDescent="0.2">
      <c r="A229" s="159" t="s">
        <v>94</v>
      </c>
      <c r="B229" s="83" t="s">
        <v>94</v>
      </c>
      <c r="C229" s="83" t="s">
        <v>94</v>
      </c>
      <c r="D229" s="83" t="s">
        <v>94</v>
      </c>
      <c r="J229" s="179"/>
      <c r="K229" s="180"/>
      <c r="L229" s="291" t="str">
        <f>IF(CONFIGURAR!$L$3=1,IF(CONFIGURAR!$M223="","",IF(CONFIGURAR!$AH223=TRUE,"",CONFIGURAR!M223)),IF(CONFIGURAR!$T223="","",CONFIGURAR!T223))</f>
        <v/>
      </c>
      <c r="M229" s="292" t="str">
        <f>IF(CONFIGURAR!$L$3=1,IF(CONFIGURAR!$M223="","",IF(CONFIGURAR!$AH223=TRUE,"",IF(CONFIGURAR!N223="","",CONFIGURAR!N223))),IF(CONFIGURAR!$T223="","",IF(CONFIGURAR!U223="","",CONFIGURAR!U223)))</f>
        <v/>
      </c>
      <c r="N229" s="292" t="str">
        <f>IF(CONFIGURAR!$L$3=1,IF(CONFIGURAR!$M223="","",IF(CONFIGURAR!$AH223=TRUE,"",IF(CONFIGURAR!O223="","",CONFIGURAR!O223))),IF(CONFIGURAR!$T223="","",IF(CONFIGURAR!V223="","",CONFIGURAR!V223)))</f>
        <v/>
      </c>
      <c r="O229" s="292" t="str">
        <f>IF(CONFIGURAR!$L$3=1,IF(CONFIGURAR!$M223="","",IF(CONFIGURAR!$AH223=TRUE,"",IF(CONFIGURAR!P223="","",CONFIGURAR!P223))),IF(CONFIGURAR!$T223="","",IF(CONFIGURAR!W223="","",CONFIGURAR!W223)))</f>
        <v/>
      </c>
    </row>
    <row r="230" spans="1:15" ht="18.75" customHeight="1" x14ac:dyDescent="0.2">
      <c r="A230" s="159" t="s">
        <v>94</v>
      </c>
      <c r="B230" s="83" t="s">
        <v>94</v>
      </c>
      <c r="C230" s="83" t="s">
        <v>94</v>
      </c>
      <c r="D230" s="83" t="s">
        <v>94</v>
      </c>
      <c r="J230" s="179"/>
      <c r="K230" s="180"/>
      <c r="L230" s="291" t="str">
        <f>IF(CONFIGURAR!$L$3=1,IF(CONFIGURAR!$M224="","",IF(CONFIGURAR!$AH224=TRUE,"",CONFIGURAR!M224)),IF(CONFIGURAR!$T224="","",CONFIGURAR!T224))</f>
        <v/>
      </c>
      <c r="M230" s="292" t="str">
        <f>IF(CONFIGURAR!$L$3=1,IF(CONFIGURAR!$M224="","",IF(CONFIGURAR!$AH224=TRUE,"",IF(CONFIGURAR!N224="","",CONFIGURAR!N224))),IF(CONFIGURAR!$T224="","",IF(CONFIGURAR!U224="","",CONFIGURAR!U224)))</f>
        <v/>
      </c>
      <c r="N230" s="292" t="str">
        <f>IF(CONFIGURAR!$L$3=1,IF(CONFIGURAR!$M224="","",IF(CONFIGURAR!$AH224=TRUE,"",IF(CONFIGURAR!O224="","",CONFIGURAR!O224))),IF(CONFIGURAR!$T224="","",IF(CONFIGURAR!V224="","",CONFIGURAR!V224)))</f>
        <v/>
      </c>
      <c r="O230" s="292" t="str">
        <f>IF(CONFIGURAR!$L$3=1,IF(CONFIGURAR!$M224="","",IF(CONFIGURAR!$AH224=TRUE,"",IF(CONFIGURAR!P224="","",CONFIGURAR!P224))),IF(CONFIGURAR!$T224="","",IF(CONFIGURAR!W224="","",CONFIGURAR!W224)))</f>
        <v/>
      </c>
    </row>
    <row r="231" spans="1:15" ht="18.75" customHeight="1" x14ac:dyDescent="0.2">
      <c r="A231" s="159" t="s">
        <v>94</v>
      </c>
      <c r="B231" s="83" t="s">
        <v>94</v>
      </c>
      <c r="C231" s="83" t="s">
        <v>94</v>
      </c>
      <c r="D231" s="83" t="s">
        <v>94</v>
      </c>
      <c r="J231" s="179"/>
      <c r="K231" s="180"/>
      <c r="L231" s="291" t="str">
        <f>IF(CONFIGURAR!$L$3=1,IF(CONFIGURAR!$M225="","",IF(CONFIGURAR!$AH225=TRUE,"",CONFIGURAR!M225)),IF(CONFIGURAR!$T225="","",CONFIGURAR!T225))</f>
        <v/>
      </c>
      <c r="M231" s="292" t="str">
        <f>IF(CONFIGURAR!$L$3=1,IF(CONFIGURAR!$M225="","",IF(CONFIGURAR!$AH225=TRUE,"",IF(CONFIGURAR!N225="","",CONFIGURAR!N225))),IF(CONFIGURAR!$T225="","",IF(CONFIGURAR!U225="","",CONFIGURAR!U225)))</f>
        <v/>
      </c>
      <c r="N231" s="292" t="str">
        <f>IF(CONFIGURAR!$L$3=1,IF(CONFIGURAR!$M225="","",IF(CONFIGURAR!$AH225=TRUE,"",IF(CONFIGURAR!O225="","",CONFIGURAR!O225))),IF(CONFIGURAR!$T225="","",IF(CONFIGURAR!V225="","",CONFIGURAR!V225)))</f>
        <v/>
      </c>
      <c r="O231" s="292" t="str">
        <f>IF(CONFIGURAR!$L$3=1,IF(CONFIGURAR!$M225="","",IF(CONFIGURAR!$AH225=TRUE,"",IF(CONFIGURAR!P225="","",CONFIGURAR!P225))),IF(CONFIGURAR!$T225="","",IF(CONFIGURAR!W225="","",CONFIGURAR!W225)))</f>
        <v/>
      </c>
    </row>
    <row r="232" spans="1:15" ht="18.75" customHeight="1" x14ac:dyDescent="0.2">
      <c r="A232" s="159" t="s">
        <v>94</v>
      </c>
      <c r="B232" s="83" t="s">
        <v>94</v>
      </c>
      <c r="C232" s="83" t="s">
        <v>94</v>
      </c>
      <c r="D232" s="83" t="s">
        <v>94</v>
      </c>
      <c r="J232" s="179"/>
      <c r="K232" s="180"/>
      <c r="L232" s="291" t="str">
        <f>IF(CONFIGURAR!$L$3=1,IF(CONFIGURAR!$M226="","",IF(CONFIGURAR!$AH226=TRUE,"",CONFIGURAR!M226)),IF(CONFIGURAR!$T226="","",CONFIGURAR!T226))</f>
        <v/>
      </c>
      <c r="M232" s="292" t="str">
        <f>IF(CONFIGURAR!$L$3=1,IF(CONFIGURAR!$M226="","",IF(CONFIGURAR!$AH226=TRUE,"",IF(CONFIGURAR!N226="","",CONFIGURAR!N226))),IF(CONFIGURAR!$T226="","",IF(CONFIGURAR!U226="","",CONFIGURAR!U226)))</f>
        <v/>
      </c>
      <c r="N232" s="292" t="str">
        <f>IF(CONFIGURAR!$L$3=1,IF(CONFIGURAR!$M226="","",IF(CONFIGURAR!$AH226=TRUE,"",IF(CONFIGURAR!O226="","",CONFIGURAR!O226))),IF(CONFIGURAR!$T226="","",IF(CONFIGURAR!V226="","",CONFIGURAR!V226)))</f>
        <v/>
      </c>
      <c r="O232" s="292" t="str">
        <f>IF(CONFIGURAR!$L$3=1,IF(CONFIGURAR!$M226="","",IF(CONFIGURAR!$AH226=TRUE,"",IF(CONFIGURAR!P226="","",CONFIGURAR!P226))),IF(CONFIGURAR!$T226="","",IF(CONFIGURAR!W226="","",CONFIGURAR!W226)))</f>
        <v/>
      </c>
    </row>
    <row r="233" spans="1:15" ht="18.75" customHeight="1" x14ac:dyDescent="0.2">
      <c r="A233" s="159" t="s">
        <v>94</v>
      </c>
      <c r="B233" s="83" t="s">
        <v>94</v>
      </c>
      <c r="C233" s="83" t="s">
        <v>94</v>
      </c>
      <c r="D233" s="83" t="s">
        <v>94</v>
      </c>
      <c r="J233" s="179"/>
      <c r="K233" s="180"/>
      <c r="L233" s="291" t="str">
        <f>IF(CONFIGURAR!$L$3=1,IF(CONFIGURAR!$M227="","",IF(CONFIGURAR!$AH227=TRUE,"",CONFIGURAR!M227)),IF(CONFIGURAR!$T227="","",CONFIGURAR!T227))</f>
        <v/>
      </c>
      <c r="M233" s="292" t="str">
        <f>IF(CONFIGURAR!$L$3=1,IF(CONFIGURAR!$M227="","",IF(CONFIGURAR!$AH227=TRUE,"",IF(CONFIGURAR!N227="","",CONFIGURAR!N227))),IF(CONFIGURAR!$T227="","",IF(CONFIGURAR!U227="","",CONFIGURAR!U227)))</f>
        <v/>
      </c>
      <c r="N233" s="292" t="str">
        <f>IF(CONFIGURAR!$L$3=1,IF(CONFIGURAR!$M227="","",IF(CONFIGURAR!$AH227=TRUE,"",IF(CONFIGURAR!O227="","",CONFIGURAR!O227))),IF(CONFIGURAR!$T227="","",IF(CONFIGURAR!V227="","",CONFIGURAR!V227)))</f>
        <v/>
      </c>
      <c r="O233" s="292" t="str">
        <f>IF(CONFIGURAR!$L$3=1,IF(CONFIGURAR!$M227="","",IF(CONFIGURAR!$AH227=TRUE,"",IF(CONFIGURAR!P227="","",CONFIGURAR!P227))),IF(CONFIGURAR!$T227="","",IF(CONFIGURAR!W227="","",CONFIGURAR!W227)))</f>
        <v/>
      </c>
    </row>
    <row r="234" spans="1:15" ht="18.75" customHeight="1" x14ac:dyDescent="0.2">
      <c r="A234" s="159" t="s">
        <v>94</v>
      </c>
      <c r="B234" s="83" t="s">
        <v>94</v>
      </c>
      <c r="C234" s="83" t="s">
        <v>94</v>
      </c>
      <c r="D234" s="83" t="s">
        <v>94</v>
      </c>
      <c r="J234" s="179"/>
      <c r="K234" s="180"/>
      <c r="L234" s="291" t="str">
        <f>IF(CONFIGURAR!$L$3=1,IF(CONFIGURAR!$M228="","",IF(CONFIGURAR!$AH228=TRUE,"",CONFIGURAR!M228)),IF(CONFIGURAR!$T228="","",CONFIGURAR!T228))</f>
        <v/>
      </c>
      <c r="M234" s="292" t="str">
        <f>IF(CONFIGURAR!$L$3=1,IF(CONFIGURAR!$M228="","",IF(CONFIGURAR!$AH228=TRUE,"",IF(CONFIGURAR!N228="","",CONFIGURAR!N228))),IF(CONFIGURAR!$T228="","",IF(CONFIGURAR!U228="","",CONFIGURAR!U228)))</f>
        <v/>
      </c>
      <c r="N234" s="292" t="str">
        <f>IF(CONFIGURAR!$L$3=1,IF(CONFIGURAR!$M228="","",IF(CONFIGURAR!$AH228=TRUE,"",IF(CONFIGURAR!O228="","",CONFIGURAR!O228))),IF(CONFIGURAR!$T228="","",IF(CONFIGURAR!V228="","",CONFIGURAR!V228)))</f>
        <v/>
      </c>
      <c r="O234" s="292" t="str">
        <f>IF(CONFIGURAR!$L$3=1,IF(CONFIGURAR!$M228="","",IF(CONFIGURAR!$AH228=TRUE,"",IF(CONFIGURAR!P228="","",CONFIGURAR!P228))),IF(CONFIGURAR!$T228="","",IF(CONFIGURAR!W228="","",CONFIGURAR!W228)))</f>
        <v/>
      </c>
    </row>
    <row r="235" spans="1:15" ht="18.75" customHeight="1" x14ac:dyDescent="0.2">
      <c r="A235" s="159" t="s">
        <v>94</v>
      </c>
      <c r="B235" s="83" t="s">
        <v>94</v>
      </c>
      <c r="C235" s="83" t="s">
        <v>94</v>
      </c>
      <c r="D235" s="83" t="s">
        <v>94</v>
      </c>
      <c r="J235" s="179"/>
      <c r="K235" s="180"/>
      <c r="L235" s="291" t="str">
        <f>IF(CONFIGURAR!$L$3=1,IF(CONFIGURAR!$M229="","",IF(CONFIGURAR!$AH229=TRUE,"",CONFIGURAR!M229)),IF(CONFIGURAR!$T229="","",CONFIGURAR!T229))</f>
        <v/>
      </c>
      <c r="M235" s="292" t="str">
        <f>IF(CONFIGURAR!$L$3=1,IF(CONFIGURAR!$M229="","",IF(CONFIGURAR!$AH229=TRUE,"",IF(CONFIGURAR!N229="","",CONFIGURAR!N229))),IF(CONFIGURAR!$T229="","",IF(CONFIGURAR!U229="","",CONFIGURAR!U229)))</f>
        <v/>
      </c>
      <c r="N235" s="292" t="str">
        <f>IF(CONFIGURAR!$L$3=1,IF(CONFIGURAR!$M229="","",IF(CONFIGURAR!$AH229=TRUE,"",IF(CONFIGURAR!O229="","",CONFIGURAR!O229))),IF(CONFIGURAR!$T229="","",IF(CONFIGURAR!V229="","",CONFIGURAR!V229)))</f>
        <v/>
      </c>
      <c r="O235" s="292" t="str">
        <f>IF(CONFIGURAR!$L$3=1,IF(CONFIGURAR!$M229="","",IF(CONFIGURAR!$AH229=TRUE,"",IF(CONFIGURAR!P229="","",CONFIGURAR!P229))),IF(CONFIGURAR!$T229="","",IF(CONFIGURAR!W229="","",CONFIGURAR!W229)))</f>
        <v/>
      </c>
    </row>
    <row r="236" spans="1:15" ht="18.75" customHeight="1" x14ac:dyDescent="0.2">
      <c r="A236" s="159" t="s">
        <v>94</v>
      </c>
      <c r="B236" s="83" t="s">
        <v>94</v>
      </c>
      <c r="C236" s="83" t="s">
        <v>94</v>
      </c>
      <c r="D236" s="83" t="s">
        <v>94</v>
      </c>
      <c r="J236" s="179"/>
      <c r="K236" s="180"/>
      <c r="L236" s="291" t="str">
        <f>IF(CONFIGURAR!$L$3=1,IF(CONFIGURAR!$M230="","",IF(CONFIGURAR!$AH230=TRUE,"",CONFIGURAR!M230)),IF(CONFIGURAR!$T230="","",CONFIGURAR!T230))</f>
        <v/>
      </c>
      <c r="M236" s="292" t="str">
        <f>IF(CONFIGURAR!$L$3=1,IF(CONFIGURAR!$M230="","",IF(CONFIGURAR!$AH230=TRUE,"",IF(CONFIGURAR!N230="","",CONFIGURAR!N230))),IF(CONFIGURAR!$T230="","",IF(CONFIGURAR!U230="","",CONFIGURAR!U230)))</f>
        <v/>
      </c>
      <c r="N236" s="292" t="str">
        <f>IF(CONFIGURAR!$L$3=1,IF(CONFIGURAR!$M230="","",IF(CONFIGURAR!$AH230=TRUE,"",IF(CONFIGURAR!O230="","",CONFIGURAR!O230))),IF(CONFIGURAR!$T230="","",IF(CONFIGURAR!V230="","",CONFIGURAR!V230)))</f>
        <v/>
      </c>
      <c r="O236" s="292" t="str">
        <f>IF(CONFIGURAR!$L$3=1,IF(CONFIGURAR!$M230="","",IF(CONFIGURAR!$AH230=TRUE,"",IF(CONFIGURAR!P230="","",CONFIGURAR!P230))),IF(CONFIGURAR!$T230="","",IF(CONFIGURAR!W230="","",CONFIGURAR!W230)))</f>
        <v/>
      </c>
    </row>
    <row r="237" spans="1:15" ht="18.75" customHeight="1" x14ac:dyDescent="0.2">
      <c r="A237" s="159" t="s">
        <v>94</v>
      </c>
      <c r="B237" s="83" t="s">
        <v>94</v>
      </c>
      <c r="C237" s="83" t="s">
        <v>94</v>
      </c>
      <c r="D237" s="83" t="s">
        <v>94</v>
      </c>
      <c r="J237" s="179"/>
      <c r="K237" s="180"/>
      <c r="L237" s="291" t="str">
        <f>IF(CONFIGURAR!$L$3=1,IF(CONFIGURAR!$M231="","",IF(CONFIGURAR!$AH231=TRUE,"",CONFIGURAR!M231)),IF(CONFIGURAR!$T231="","",CONFIGURAR!T231))</f>
        <v/>
      </c>
      <c r="M237" s="292" t="str">
        <f>IF(CONFIGURAR!$L$3=1,IF(CONFIGURAR!$M231="","",IF(CONFIGURAR!$AH231=TRUE,"",IF(CONFIGURAR!N231="","",CONFIGURAR!N231))),IF(CONFIGURAR!$T231="","",IF(CONFIGURAR!U231="","",CONFIGURAR!U231)))</f>
        <v/>
      </c>
      <c r="N237" s="292" t="str">
        <f>IF(CONFIGURAR!$L$3=1,IF(CONFIGURAR!$M231="","",IF(CONFIGURAR!$AH231=TRUE,"",IF(CONFIGURAR!O231="","",CONFIGURAR!O231))),IF(CONFIGURAR!$T231="","",IF(CONFIGURAR!V231="","",CONFIGURAR!V231)))</f>
        <v/>
      </c>
      <c r="O237" s="292" t="str">
        <f>IF(CONFIGURAR!$L$3=1,IF(CONFIGURAR!$M231="","",IF(CONFIGURAR!$AH231=TRUE,"",IF(CONFIGURAR!P231="","",CONFIGURAR!P231))),IF(CONFIGURAR!$T231="","",IF(CONFIGURAR!W231="","",CONFIGURAR!W231)))</f>
        <v/>
      </c>
    </row>
    <row r="238" spans="1:15" ht="18.75" customHeight="1" x14ac:dyDescent="0.2">
      <c r="A238" s="159" t="s">
        <v>94</v>
      </c>
      <c r="B238" s="83" t="s">
        <v>94</v>
      </c>
      <c r="C238" s="83" t="s">
        <v>94</v>
      </c>
      <c r="D238" s="83" t="s">
        <v>94</v>
      </c>
      <c r="J238" s="179"/>
      <c r="K238" s="180"/>
      <c r="L238" s="291" t="str">
        <f>IF(CONFIGURAR!$L$3=1,IF(CONFIGURAR!$M232="","",IF(CONFIGURAR!$AH232=TRUE,"",CONFIGURAR!M232)),IF(CONFIGURAR!$T232="","",CONFIGURAR!T232))</f>
        <v/>
      </c>
      <c r="M238" s="292" t="str">
        <f>IF(CONFIGURAR!$L$3=1,IF(CONFIGURAR!$M232="","",IF(CONFIGURAR!$AH232=TRUE,"",IF(CONFIGURAR!N232="","",CONFIGURAR!N232))),IF(CONFIGURAR!$T232="","",IF(CONFIGURAR!U232="","",CONFIGURAR!U232)))</f>
        <v/>
      </c>
      <c r="N238" s="292" t="str">
        <f>IF(CONFIGURAR!$L$3=1,IF(CONFIGURAR!$M232="","",IF(CONFIGURAR!$AH232=TRUE,"",IF(CONFIGURAR!O232="","",CONFIGURAR!O232))),IF(CONFIGURAR!$T232="","",IF(CONFIGURAR!V232="","",CONFIGURAR!V232)))</f>
        <v/>
      </c>
      <c r="O238" s="292" t="str">
        <f>IF(CONFIGURAR!$L$3=1,IF(CONFIGURAR!$M232="","",IF(CONFIGURAR!$AH232=TRUE,"",IF(CONFIGURAR!P232="","",CONFIGURAR!P232))),IF(CONFIGURAR!$T232="","",IF(CONFIGURAR!W232="","",CONFIGURAR!W232)))</f>
        <v/>
      </c>
    </row>
    <row r="239" spans="1:15" ht="18.75" customHeight="1" x14ac:dyDescent="0.2">
      <c r="A239" s="159" t="s">
        <v>94</v>
      </c>
      <c r="B239" s="83" t="s">
        <v>94</v>
      </c>
      <c r="C239" s="83" t="s">
        <v>94</v>
      </c>
      <c r="D239" s="83" t="s">
        <v>94</v>
      </c>
      <c r="J239" s="179"/>
      <c r="K239" s="180"/>
      <c r="L239" s="291" t="str">
        <f>IF(CONFIGURAR!$L$3=1,IF(CONFIGURAR!$M233="","",IF(CONFIGURAR!$AH233=TRUE,"",CONFIGURAR!M233)),IF(CONFIGURAR!$T233="","",CONFIGURAR!T233))</f>
        <v/>
      </c>
      <c r="M239" s="292" t="str">
        <f>IF(CONFIGURAR!$L$3=1,IF(CONFIGURAR!$M233="","",IF(CONFIGURAR!$AH233=TRUE,"",IF(CONFIGURAR!N233="","",CONFIGURAR!N233))),IF(CONFIGURAR!$T233="","",IF(CONFIGURAR!U233="","",CONFIGURAR!U233)))</f>
        <v/>
      </c>
      <c r="N239" s="292" t="str">
        <f>IF(CONFIGURAR!$L$3=1,IF(CONFIGURAR!$M233="","",IF(CONFIGURAR!$AH233=TRUE,"",IF(CONFIGURAR!O233="","",CONFIGURAR!O233))),IF(CONFIGURAR!$T233="","",IF(CONFIGURAR!V233="","",CONFIGURAR!V233)))</f>
        <v/>
      </c>
      <c r="O239" s="292" t="str">
        <f>IF(CONFIGURAR!$L$3=1,IF(CONFIGURAR!$M233="","",IF(CONFIGURAR!$AH233=TRUE,"",IF(CONFIGURAR!P233="","",CONFIGURAR!P233))),IF(CONFIGURAR!$T233="","",IF(CONFIGURAR!W233="","",CONFIGURAR!W233)))</f>
        <v/>
      </c>
    </row>
    <row r="240" spans="1:15" ht="18.75" customHeight="1" x14ac:dyDescent="0.2">
      <c r="A240" s="159" t="s">
        <v>94</v>
      </c>
      <c r="B240" s="83" t="s">
        <v>94</v>
      </c>
      <c r="C240" s="83" t="s">
        <v>94</v>
      </c>
      <c r="D240" s="83" t="s">
        <v>94</v>
      </c>
      <c r="J240" s="179"/>
      <c r="K240" s="180"/>
      <c r="L240" s="291" t="str">
        <f>IF(CONFIGURAR!$L$3=1,IF(CONFIGURAR!$M234="","",IF(CONFIGURAR!$AH234=TRUE,"",CONFIGURAR!M234)),IF(CONFIGURAR!$T234="","",CONFIGURAR!T234))</f>
        <v/>
      </c>
      <c r="M240" s="292" t="str">
        <f>IF(CONFIGURAR!$L$3=1,IF(CONFIGURAR!$M234="","",IF(CONFIGURAR!$AH234=TRUE,"",IF(CONFIGURAR!N234="","",CONFIGURAR!N234))),IF(CONFIGURAR!$T234="","",IF(CONFIGURAR!U234="","",CONFIGURAR!U234)))</f>
        <v/>
      </c>
      <c r="N240" s="292" t="str">
        <f>IF(CONFIGURAR!$L$3=1,IF(CONFIGURAR!$M234="","",IF(CONFIGURAR!$AH234=TRUE,"",IF(CONFIGURAR!O234="","",CONFIGURAR!O234))),IF(CONFIGURAR!$T234="","",IF(CONFIGURAR!V234="","",CONFIGURAR!V234)))</f>
        <v/>
      </c>
      <c r="O240" s="292" t="str">
        <f>IF(CONFIGURAR!$L$3=1,IF(CONFIGURAR!$M234="","",IF(CONFIGURAR!$AH234=TRUE,"",IF(CONFIGURAR!P234="","",CONFIGURAR!P234))),IF(CONFIGURAR!$T234="","",IF(CONFIGURAR!W234="","",CONFIGURAR!W234)))</f>
        <v/>
      </c>
    </row>
    <row r="241" spans="1:15" ht="18.75" customHeight="1" x14ac:dyDescent="0.2">
      <c r="A241" s="159" t="s">
        <v>94</v>
      </c>
      <c r="B241" s="83" t="s">
        <v>94</v>
      </c>
      <c r="C241" s="83" t="s">
        <v>94</v>
      </c>
      <c r="D241" s="83" t="s">
        <v>94</v>
      </c>
      <c r="J241" s="179"/>
      <c r="K241" s="180"/>
      <c r="L241" s="291" t="str">
        <f>IF(CONFIGURAR!$L$3=1,IF(CONFIGURAR!$M235="","",IF(CONFIGURAR!$AH235=TRUE,"",CONFIGURAR!M235)),IF(CONFIGURAR!$T235="","",CONFIGURAR!T235))</f>
        <v/>
      </c>
      <c r="M241" s="292" t="str">
        <f>IF(CONFIGURAR!$L$3=1,IF(CONFIGURAR!$M235="","",IF(CONFIGURAR!$AH235=TRUE,"",IF(CONFIGURAR!N235="","",CONFIGURAR!N235))),IF(CONFIGURAR!$T235="","",IF(CONFIGURAR!U235="","",CONFIGURAR!U235)))</f>
        <v/>
      </c>
      <c r="N241" s="292" t="str">
        <f>IF(CONFIGURAR!$L$3=1,IF(CONFIGURAR!$M235="","",IF(CONFIGURAR!$AH235=TRUE,"",IF(CONFIGURAR!O235="","",CONFIGURAR!O235))),IF(CONFIGURAR!$T235="","",IF(CONFIGURAR!V235="","",CONFIGURAR!V235)))</f>
        <v/>
      </c>
      <c r="O241" s="292" t="str">
        <f>IF(CONFIGURAR!$L$3=1,IF(CONFIGURAR!$M235="","",IF(CONFIGURAR!$AH235=TRUE,"",IF(CONFIGURAR!P235="","",CONFIGURAR!P235))),IF(CONFIGURAR!$T235="","",IF(CONFIGURAR!W235="","",CONFIGURAR!W235)))</f>
        <v/>
      </c>
    </row>
    <row r="242" spans="1:15" ht="18.75" customHeight="1" x14ac:dyDescent="0.2">
      <c r="A242" s="159" t="s">
        <v>94</v>
      </c>
      <c r="B242" s="83" t="s">
        <v>94</v>
      </c>
      <c r="C242" s="83" t="s">
        <v>94</v>
      </c>
      <c r="D242" s="83" t="s">
        <v>94</v>
      </c>
      <c r="J242" s="179"/>
      <c r="K242" s="180"/>
      <c r="L242" s="291" t="str">
        <f>IF(CONFIGURAR!$L$3=1,IF(CONFIGURAR!$M236="","",IF(CONFIGURAR!$AH236=TRUE,"",CONFIGURAR!M236)),IF(CONFIGURAR!$T236="","",CONFIGURAR!T236))</f>
        <v/>
      </c>
      <c r="M242" s="292" t="str">
        <f>IF(CONFIGURAR!$L$3=1,IF(CONFIGURAR!$M236="","",IF(CONFIGURAR!$AH236=TRUE,"",IF(CONFIGURAR!N236="","",CONFIGURAR!N236))),IF(CONFIGURAR!$T236="","",IF(CONFIGURAR!U236="","",CONFIGURAR!U236)))</f>
        <v/>
      </c>
      <c r="N242" s="292" t="str">
        <f>IF(CONFIGURAR!$L$3=1,IF(CONFIGURAR!$M236="","",IF(CONFIGURAR!$AH236=TRUE,"",IF(CONFIGURAR!O236="","",CONFIGURAR!O236))),IF(CONFIGURAR!$T236="","",IF(CONFIGURAR!V236="","",CONFIGURAR!V236)))</f>
        <v/>
      </c>
      <c r="O242" s="292" t="str">
        <f>IF(CONFIGURAR!$L$3=1,IF(CONFIGURAR!$M236="","",IF(CONFIGURAR!$AH236=TRUE,"",IF(CONFIGURAR!P236="","",CONFIGURAR!P236))),IF(CONFIGURAR!$T236="","",IF(CONFIGURAR!W236="","",CONFIGURAR!W236)))</f>
        <v/>
      </c>
    </row>
    <row r="243" spans="1:15" ht="18.75" customHeight="1" x14ac:dyDescent="0.2">
      <c r="A243" s="159" t="s">
        <v>94</v>
      </c>
      <c r="B243" s="83" t="s">
        <v>94</v>
      </c>
      <c r="C243" s="83" t="s">
        <v>94</v>
      </c>
      <c r="D243" s="83" t="s">
        <v>94</v>
      </c>
      <c r="J243" s="179"/>
      <c r="K243" s="180"/>
      <c r="L243" s="291" t="str">
        <f>IF(CONFIGURAR!$L$3=1,IF(CONFIGURAR!$M237="","",IF(CONFIGURAR!$AH237=TRUE,"",CONFIGURAR!M237)),IF(CONFIGURAR!$T237="","",CONFIGURAR!T237))</f>
        <v/>
      </c>
      <c r="M243" s="292" t="str">
        <f>IF(CONFIGURAR!$L$3=1,IF(CONFIGURAR!$M237="","",IF(CONFIGURAR!$AH237=TRUE,"",IF(CONFIGURAR!N237="","",CONFIGURAR!N237))),IF(CONFIGURAR!$T237="","",IF(CONFIGURAR!U237="","",CONFIGURAR!U237)))</f>
        <v/>
      </c>
      <c r="N243" s="292" t="str">
        <f>IF(CONFIGURAR!$L$3=1,IF(CONFIGURAR!$M237="","",IF(CONFIGURAR!$AH237=TRUE,"",IF(CONFIGURAR!O237="","",CONFIGURAR!O237))),IF(CONFIGURAR!$T237="","",IF(CONFIGURAR!V237="","",CONFIGURAR!V237)))</f>
        <v/>
      </c>
      <c r="O243" s="292" t="str">
        <f>IF(CONFIGURAR!$L$3=1,IF(CONFIGURAR!$M237="","",IF(CONFIGURAR!$AH237=TRUE,"",IF(CONFIGURAR!P237="","",CONFIGURAR!P237))),IF(CONFIGURAR!$T237="","",IF(CONFIGURAR!W237="","",CONFIGURAR!W237)))</f>
        <v/>
      </c>
    </row>
    <row r="244" spans="1:15" ht="18.75" customHeight="1" x14ac:dyDescent="0.2">
      <c r="A244" s="159" t="s">
        <v>94</v>
      </c>
      <c r="B244" s="83" t="s">
        <v>94</v>
      </c>
      <c r="C244" s="83" t="s">
        <v>94</v>
      </c>
      <c r="D244" s="83" t="s">
        <v>94</v>
      </c>
      <c r="J244" s="179"/>
      <c r="K244" s="180"/>
      <c r="L244" s="291" t="str">
        <f>IF(CONFIGURAR!$L$3=1,IF(CONFIGURAR!$M238="","",IF(CONFIGURAR!$AH238=TRUE,"",CONFIGURAR!M238)),IF(CONFIGURAR!$T238="","",CONFIGURAR!T238))</f>
        <v/>
      </c>
      <c r="M244" s="292" t="str">
        <f>IF(CONFIGURAR!$L$3=1,IF(CONFIGURAR!$M238="","",IF(CONFIGURAR!$AH238=TRUE,"",IF(CONFIGURAR!N238="","",CONFIGURAR!N238))),IF(CONFIGURAR!$T238="","",IF(CONFIGURAR!U238="","",CONFIGURAR!U238)))</f>
        <v/>
      </c>
      <c r="N244" s="292" t="str">
        <f>IF(CONFIGURAR!$L$3=1,IF(CONFIGURAR!$M238="","",IF(CONFIGURAR!$AH238=TRUE,"",IF(CONFIGURAR!O238="","",CONFIGURAR!O238))),IF(CONFIGURAR!$T238="","",IF(CONFIGURAR!V238="","",CONFIGURAR!V238)))</f>
        <v/>
      </c>
      <c r="O244" s="292" t="str">
        <f>IF(CONFIGURAR!$L$3=1,IF(CONFIGURAR!$M238="","",IF(CONFIGURAR!$AH238=TRUE,"",IF(CONFIGURAR!P238="","",CONFIGURAR!P238))),IF(CONFIGURAR!$T238="","",IF(CONFIGURAR!W238="","",CONFIGURAR!W238)))</f>
        <v/>
      </c>
    </row>
    <row r="245" spans="1:15" ht="18.75" customHeight="1" x14ac:dyDescent="0.2">
      <c r="A245" s="159" t="s">
        <v>94</v>
      </c>
      <c r="B245" s="83" t="s">
        <v>94</v>
      </c>
      <c r="C245" s="83" t="s">
        <v>94</v>
      </c>
      <c r="D245" s="83" t="s">
        <v>94</v>
      </c>
      <c r="J245" s="179"/>
      <c r="K245" s="180"/>
      <c r="L245" s="291" t="str">
        <f>IF(CONFIGURAR!$L$3=1,IF(CONFIGURAR!$M239="","",IF(CONFIGURAR!$AH239=TRUE,"",CONFIGURAR!M239)),IF(CONFIGURAR!$T239="","",CONFIGURAR!T239))</f>
        <v/>
      </c>
      <c r="M245" s="292" t="str">
        <f>IF(CONFIGURAR!$L$3=1,IF(CONFIGURAR!$M239="","",IF(CONFIGURAR!$AH239=TRUE,"",IF(CONFIGURAR!N239="","",CONFIGURAR!N239))),IF(CONFIGURAR!$T239="","",IF(CONFIGURAR!U239="","",CONFIGURAR!U239)))</f>
        <v/>
      </c>
      <c r="N245" s="292" t="str">
        <f>IF(CONFIGURAR!$L$3=1,IF(CONFIGURAR!$M239="","",IF(CONFIGURAR!$AH239=TRUE,"",IF(CONFIGURAR!O239="","",CONFIGURAR!O239))),IF(CONFIGURAR!$T239="","",IF(CONFIGURAR!V239="","",CONFIGURAR!V239)))</f>
        <v/>
      </c>
      <c r="O245" s="292" t="str">
        <f>IF(CONFIGURAR!$L$3=1,IF(CONFIGURAR!$M239="","",IF(CONFIGURAR!$AH239=TRUE,"",IF(CONFIGURAR!P239="","",CONFIGURAR!P239))),IF(CONFIGURAR!$T239="","",IF(CONFIGURAR!W239="","",CONFIGURAR!W239)))</f>
        <v/>
      </c>
    </row>
    <row r="246" spans="1:15" ht="18.75" customHeight="1" x14ac:dyDescent="0.2">
      <c r="A246" s="159" t="s">
        <v>94</v>
      </c>
      <c r="B246" s="83" t="s">
        <v>94</v>
      </c>
      <c r="C246" s="83" t="s">
        <v>94</v>
      </c>
      <c r="D246" s="83" t="s">
        <v>94</v>
      </c>
      <c r="J246" s="179"/>
      <c r="K246" s="180"/>
      <c r="L246" s="291" t="str">
        <f>IF(CONFIGURAR!$L$3=1,IF(CONFIGURAR!$M240="","",IF(CONFIGURAR!$AH240=TRUE,"",CONFIGURAR!M240)),IF(CONFIGURAR!$T240="","",CONFIGURAR!T240))</f>
        <v/>
      </c>
      <c r="M246" s="292" t="str">
        <f>IF(CONFIGURAR!$L$3=1,IF(CONFIGURAR!$M240="","",IF(CONFIGURAR!$AH240=TRUE,"",IF(CONFIGURAR!N240="","",CONFIGURAR!N240))),IF(CONFIGURAR!$T240="","",IF(CONFIGURAR!U240="","",CONFIGURAR!U240)))</f>
        <v/>
      </c>
      <c r="N246" s="292" t="str">
        <f>IF(CONFIGURAR!$L$3=1,IF(CONFIGURAR!$M240="","",IF(CONFIGURAR!$AH240=TRUE,"",IF(CONFIGURAR!O240="","",CONFIGURAR!O240))),IF(CONFIGURAR!$T240="","",IF(CONFIGURAR!V240="","",CONFIGURAR!V240)))</f>
        <v/>
      </c>
      <c r="O246" s="292" t="str">
        <f>IF(CONFIGURAR!$L$3=1,IF(CONFIGURAR!$M240="","",IF(CONFIGURAR!$AH240=TRUE,"",IF(CONFIGURAR!P240="","",CONFIGURAR!P240))),IF(CONFIGURAR!$T240="","",IF(CONFIGURAR!W240="","",CONFIGURAR!W240)))</f>
        <v/>
      </c>
    </row>
    <row r="247" spans="1:15" ht="18.75" customHeight="1" x14ac:dyDescent="0.2">
      <c r="A247" s="159" t="s">
        <v>94</v>
      </c>
      <c r="B247" s="83" t="s">
        <v>94</v>
      </c>
      <c r="C247" s="83" t="s">
        <v>94</v>
      </c>
      <c r="D247" s="83" t="s">
        <v>94</v>
      </c>
      <c r="J247" s="179"/>
      <c r="K247" s="180"/>
      <c r="L247" s="291" t="str">
        <f>IF(CONFIGURAR!$L$3=1,IF(CONFIGURAR!$M241="","",IF(CONFIGURAR!$AH241=TRUE,"",CONFIGURAR!M241)),IF(CONFIGURAR!$T241="","",CONFIGURAR!T241))</f>
        <v/>
      </c>
      <c r="M247" s="292" t="str">
        <f>IF(CONFIGURAR!$L$3=1,IF(CONFIGURAR!$M241="","",IF(CONFIGURAR!$AH241=TRUE,"",IF(CONFIGURAR!N241="","",CONFIGURAR!N241))),IF(CONFIGURAR!$T241="","",IF(CONFIGURAR!U241="","",CONFIGURAR!U241)))</f>
        <v/>
      </c>
      <c r="N247" s="292" t="str">
        <f>IF(CONFIGURAR!$L$3=1,IF(CONFIGURAR!$M241="","",IF(CONFIGURAR!$AH241=TRUE,"",IF(CONFIGURAR!O241="","",CONFIGURAR!O241))),IF(CONFIGURAR!$T241="","",IF(CONFIGURAR!V241="","",CONFIGURAR!V241)))</f>
        <v/>
      </c>
      <c r="O247" s="292" t="str">
        <f>IF(CONFIGURAR!$L$3=1,IF(CONFIGURAR!$M241="","",IF(CONFIGURAR!$AH241=TRUE,"",IF(CONFIGURAR!P241="","",CONFIGURAR!P241))),IF(CONFIGURAR!$T241="","",IF(CONFIGURAR!W241="","",CONFIGURAR!W241)))</f>
        <v/>
      </c>
    </row>
    <row r="248" spans="1:15" ht="18.75" customHeight="1" x14ac:dyDescent="0.2">
      <c r="A248" s="159" t="s">
        <v>94</v>
      </c>
      <c r="B248" s="83" t="s">
        <v>94</v>
      </c>
      <c r="C248" s="83" t="s">
        <v>94</v>
      </c>
      <c r="D248" s="83" t="s">
        <v>94</v>
      </c>
      <c r="J248" s="179"/>
      <c r="K248" s="180"/>
      <c r="L248" s="291" t="str">
        <f>IF(CONFIGURAR!$L$3=1,IF(CONFIGURAR!$M242="","",IF(CONFIGURAR!$AH242=TRUE,"",CONFIGURAR!M242)),IF(CONFIGURAR!$T242="","",CONFIGURAR!T242))</f>
        <v/>
      </c>
      <c r="M248" s="292" t="str">
        <f>IF(CONFIGURAR!$L$3=1,IF(CONFIGURAR!$M242="","",IF(CONFIGURAR!$AH242=TRUE,"",IF(CONFIGURAR!N242="","",CONFIGURAR!N242))),IF(CONFIGURAR!$T242="","",IF(CONFIGURAR!U242="","",CONFIGURAR!U242)))</f>
        <v/>
      </c>
      <c r="N248" s="292" t="str">
        <f>IF(CONFIGURAR!$L$3=1,IF(CONFIGURAR!$M242="","",IF(CONFIGURAR!$AH242=TRUE,"",IF(CONFIGURAR!O242="","",CONFIGURAR!O242))),IF(CONFIGURAR!$T242="","",IF(CONFIGURAR!V242="","",CONFIGURAR!V242)))</f>
        <v/>
      </c>
      <c r="O248" s="292" t="str">
        <f>IF(CONFIGURAR!$L$3=1,IF(CONFIGURAR!$M242="","",IF(CONFIGURAR!$AH242=TRUE,"",IF(CONFIGURAR!P242="","",CONFIGURAR!P242))),IF(CONFIGURAR!$T242="","",IF(CONFIGURAR!W242="","",CONFIGURAR!W242)))</f>
        <v/>
      </c>
    </row>
    <row r="249" spans="1:15" ht="18.75" customHeight="1" x14ac:dyDescent="0.2">
      <c r="A249" s="159" t="s">
        <v>94</v>
      </c>
      <c r="B249" s="83" t="s">
        <v>94</v>
      </c>
      <c r="C249" s="83" t="s">
        <v>94</v>
      </c>
      <c r="D249" s="83" t="s">
        <v>94</v>
      </c>
      <c r="J249" s="179"/>
      <c r="K249" s="180"/>
      <c r="L249" s="291" t="str">
        <f>IF(CONFIGURAR!$L$3=1,IF(CONFIGURAR!$M243="","",IF(CONFIGURAR!$AH243=TRUE,"",CONFIGURAR!M243)),IF(CONFIGURAR!$T243="","",CONFIGURAR!T243))</f>
        <v/>
      </c>
      <c r="M249" s="292" t="str">
        <f>IF(CONFIGURAR!$L$3=1,IF(CONFIGURAR!$M243="","",IF(CONFIGURAR!$AH243=TRUE,"",IF(CONFIGURAR!N243="","",CONFIGURAR!N243))),IF(CONFIGURAR!$T243="","",IF(CONFIGURAR!U243="","",CONFIGURAR!U243)))</f>
        <v/>
      </c>
      <c r="N249" s="292" t="str">
        <f>IF(CONFIGURAR!$L$3=1,IF(CONFIGURAR!$M243="","",IF(CONFIGURAR!$AH243=TRUE,"",IF(CONFIGURAR!O243="","",CONFIGURAR!O243))),IF(CONFIGURAR!$T243="","",IF(CONFIGURAR!V243="","",CONFIGURAR!V243)))</f>
        <v/>
      </c>
      <c r="O249" s="292" t="str">
        <f>IF(CONFIGURAR!$L$3=1,IF(CONFIGURAR!$M243="","",IF(CONFIGURAR!$AH243=TRUE,"",IF(CONFIGURAR!P243="","",CONFIGURAR!P243))),IF(CONFIGURAR!$T243="","",IF(CONFIGURAR!W243="","",CONFIGURAR!W243)))</f>
        <v/>
      </c>
    </row>
    <row r="250" spans="1:15" ht="18.75" customHeight="1" x14ac:dyDescent="0.2">
      <c r="A250" s="159" t="s">
        <v>94</v>
      </c>
      <c r="B250" s="83" t="s">
        <v>94</v>
      </c>
      <c r="C250" s="83" t="s">
        <v>94</v>
      </c>
      <c r="D250" s="83" t="s">
        <v>94</v>
      </c>
      <c r="J250" s="179"/>
      <c r="K250" s="180"/>
      <c r="L250" s="291" t="str">
        <f>IF(CONFIGURAR!$L$3=1,IF(CONFIGURAR!$M244="","",IF(CONFIGURAR!$AH244=TRUE,"",CONFIGURAR!M244)),IF(CONFIGURAR!$T244="","",CONFIGURAR!T244))</f>
        <v/>
      </c>
      <c r="M250" s="292" t="str">
        <f>IF(CONFIGURAR!$L$3=1,IF(CONFIGURAR!$M244="","",IF(CONFIGURAR!$AH244=TRUE,"",IF(CONFIGURAR!N244="","",CONFIGURAR!N244))),IF(CONFIGURAR!$T244="","",IF(CONFIGURAR!U244="","",CONFIGURAR!U244)))</f>
        <v/>
      </c>
      <c r="N250" s="292" t="str">
        <f>IF(CONFIGURAR!$L$3=1,IF(CONFIGURAR!$M244="","",IF(CONFIGURAR!$AH244=TRUE,"",IF(CONFIGURAR!O244="","",CONFIGURAR!O244))),IF(CONFIGURAR!$T244="","",IF(CONFIGURAR!V244="","",CONFIGURAR!V244)))</f>
        <v/>
      </c>
      <c r="O250" s="292" t="str">
        <f>IF(CONFIGURAR!$L$3=1,IF(CONFIGURAR!$M244="","",IF(CONFIGURAR!$AH244=TRUE,"",IF(CONFIGURAR!P244="","",CONFIGURAR!P244))),IF(CONFIGURAR!$T244="","",IF(CONFIGURAR!W244="","",CONFIGURAR!W244)))</f>
        <v/>
      </c>
    </row>
    <row r="251" spans="1:15" ht="18.75" customHeight="1" thickBot="1" x14ac:dyDescent="0.25">
      <c r="A251" s="159" t="s">
        <v>94</v>
      </c>
      <c r="B251" s="83" t="s">
        <v>94</v>
      </c>
      <c r="C251" s="83" t="s">
        <v>94</v>
      </c>
      <c r="D251" s="83" t="s">
        <v>94</v>
      </c>
      <c r="J251" s="182"/>
      <c r="K251" s="181"/>
      <c r="L251" s="156" t="str">
        <f>IF(CONFIGURAR!$L$3=1,IF(CONFIGURAR!$M245="","",IF(CONFIGURAR!$AH245=TRUE,"",CONFIGURAR!M245)),IF(CONFIGURAR!$T245="","",CONFIGURAR!T245))</f>
        <v/>
      </c>
      <c r="M251" s="293" t="str">
        <f>IF(CONFIGURAR!$L$3=1,IF(CONFIGURAR!$M245="","",IF(CONFIGURAR!$AH245=TRUE,"",IF(CONFIGURAR!N245="","",CONFIGURAR!N245))),IF(CONFIGURAR!$T245="","",IF(CONFIGURAR!U245="","",CONFIGURAR!U245)))</f>
        <v/>
      </c>
      <c r="N251" s="293" t="str">
        <f>IF(CONFIGURAR!$L$3=1,IF(CONFIGURAR!$M245="","",IF(CONFIGURAR!$AH245=TRUE,"",IF(CONFIGURAR!O245="","",CONFIGURAR!O245))),IF(CONFIGURAR!$T245="","",IF(CONFIGURAR!V245="","",CONFIGURAR!V245)))</f>
        <v/>
      </c>
      <c r="O251" s="293" t="str">
        <f>IF(CONFIGURAR!$L$3=1,IF(CONFIGURAR!$M245="","",IF(CONFIGURAR!$AH245=TRUE,"",IF(CONFIGURAR!P245="","",CONFIGURAR!P245))),IF(CONFIGURAR!$T245="","",IF(CONFIGURAR!W245="","",CONFIGURAR!W245)))</f>
        <v/>
      </c>
    </row>
  </sheetData>
  <sheetProtection sheet="1" objects="1" scenarios="1" selectLockedCells="1"/>
  <sortState ref="A12:D251">
    <sortCondition descending="1" ref="C12"/>
    <sortCondition ref="D12"/>
    <sortCondition ref="B12"/>
  </sortState>
  <mergeCells count="2">
    <mergeCell ref="C9:D9"/>
    <mergeCell ref="A5:D7"/>
  </mergeCells>
  <phoneticPr fontId="1" type="noConversion"/>
  <printOptions horizontalCentered="1" verticalCentered="1"/>
  <pageMargins left="0.75" right="0.75" top="0" bottom="0" header="0" footer="0"/>
  <pageSetup paperSize="9" scale="11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2"/>
  <dimension ref="A1:AA261"/>
  <sheetViews>
    <sheetView zoomScale="75" zoomScaleNormal="75" zoomScaleSheetLayoutView="25" workbookViewId="0">
      <selection activeCell="B70" sqref="B70"/>
    </sheetView>
  </sheetViews>
  <sheetFormatPr defaultRowHeight="15" x14ac:dyDescent="0.25"/>
  <cols>
    <col min="1" max="1" width="20" style="208" customWidth="1"/>
    <col min="2" max="2" width="5.625" style="209" customWidth="1"/>
    <col min="3" max="3" width="6.25" style="209" customWidth="1"/>
    <col min="4" max="4" width="20" style="210" customWidth="1"/>
    <col min="5" max="5" width="5.625" style="211" customWidth="1"/>
    <col min="6" max="6" width="6.25" style="211" customWidth="1"/>
    <col min="7" max="7" width="20" style="210" customWidth="1"/>
    <col min="8" max="8" width="5.625" style="211" customWidth="1"/>
    <col min="9" max="9" width="6.25" style="211" customWidth="1"/>
    <col min="10" max="10" width="20" style="210" customWidth="1"/>
    <col min="11" max="11" width="5.625" style="211" customWidth="1"/>
    <col min="12" max="12" width="6.25" style="211" customWidth="1"/>
    <col min="13" max="13" width="20" style="210" customWidth="1"/>
    <col min="14" max="14" width="5.625" style="210" customWidth="1"/>
    <col min="15" max="15" width="6.25" style="210" customWidth="1"/>
    <col min="16" max="16" width="20" style="210" customWidth="1"/>
    <col min="17" max="17" width="5.75" style="210" customWidth="1"/>
    <col min="18" max="18" width="4.375" style="210" customWidth="1"/>
    <col min="19" max="19" width="4.25" style="211" customWidth="1"/>
    <col min="20" max="20" width="6.25" style="211" customWidth="1"/>
    <col min="21" max="21" width="20" style="210" customWidth="1"/>
    <col min="22" max="22" width="4.375" style="210" customWidth="1"/>
    <col min="23" max="23" width="4.375" style="211" customWidth="1"/>
    <col min="24" max="24" width="25.25" style="214" customWidth="1"/>
    <col min="25" max="25" width="4.375" style="215" customWidth="1"/>
    <col min="26" max="26" width="9.375" style="267" customWidth="1"/>
    <col min="27" max="42" width="5" style="214" customWidth="1"/>
    <col min="43" max="16384" width="9" style="214"/>
  </cols>
  <sheetData>
    <row r="1" spans="1:26" ht="12.75" customHeight="1" x14ac:dyDescent="0.25"/>
    <row r="2" spans="1:26" s="206" customFormat="1" ht="15" customHeight="1" x14ac:dyDescent="0.2">
      <c r="A2" s="203" t="s">
        <v>18</v>
      </c>
      <c r="B2" s="203"/>
      <c r="C2" s="203"/>
      <c r="D2" s="203" t="s">
        <v>19</v>
      </c>
      <c r="E2" s="203"/>
      <c r="F2" s="203"/>
      <c r="G2" s="203" t="s">
        <v>20</v>
      </c>
      <c r="H2" s="203"/>
      <c r="I2" s="203"/>
      <c r="J2" s="203" t="s">
        <v>21</v>
      </c>
      <c r="K2" s="203"/>
      <c r="L2" s="203"/>
      <c r="M2" s="203" t="s">
        <v>22</v>
      </c>
      <c r="N2" s="203"/>
      <c r="O2" s="203"/>
      <c r="P2" s="203" t="s">
        <v>23</v>
      </c>
      <c r="Q2" s="203"/>
      <c r="R2" s="203"/>
      <c r="S2" s="203"/>
      <c r="T2" s="203"/>
      <c r="U2" s="203" t="s">
        <v>57</v>
      </c>
      <c r="V2" s="204"/>
      <c r="W2" s="263">
        <f>CONFIGURAR!B14</f>
        <v>2</v>
      </c>
      <c r="Y2" s="207"/>
      <c r="Z2" s="245"/>
    </row>
    <row r="3" spans="1:26" ht="26.25" customHeight="1" x14ac:dyDescent="0.25">
      <c r="J3" s="212"/>
      <c r="K3" s="213"/>
      <c r="L3" s="213"/>
      <c r="M3" s="213"/>
      <c r="N3" s="213"/>
      <c r="O3" s="213"/>
      <c r="P3" s="213"/>
      <c r="Q3" s="213"/>
      <c r="R3" s="213"/>
      <c r="S3" s="213"/>
      <c r="T3" s="213"/>
      <c r="U3" s="213"/>
      <c r="V3" s="213"/>
      <c r="W3" s="213"/>
    </row>
    <row r="4" spans="1:26" s="221" customFormat="1" ht="23.25" customHeight="1" x14ac:dyDescent="0.2">
      <c r="A4" s="216" t="str">
        <f>CONFIGURAR!AD8</f>
        <v>C</v>
      </c>
      <c r="B4" s="217"/>
      <c r="C4" s="218"/>
      <c r="D4" s="219"/>
      <c r="E4" s="220"/>
      <c r="F4" s="220"/>
      <c r="G4" s="219"/>
      <c r="H4" s="220"/>
      <c r="I4" s="220"/>
      <c r="J4" s="213"/>
      <c r="K4" s="213"/>
      <c r="L4" s="213"/>
      <c r="M4" s="213"/>
      <c r="N4" s="213"/>
      <c r="O4" s="213"/>
      <c r="P4" s="213"/>
      <c r="Q4" s="213"/>
      <c r="R4" s="213"/>
      <c r="S4" s="213"/>
      <c r="T4" s="213"/>
      <c r="U4" s="213"/>
      <c r="V4" s="213"/>
      <c r="W4" s="213"/>
      <c r="Z4" s="268"/>
    </row>
    <row r="5" spans="1:26" s="221" customFormat="1" ht="23.25" customHeight="1" x14ac:dyDescent="0.2">
      <c r="A5" s="222" t="s">
        <v>0</v>
      </c>
      <c r="B5" s="223">
        <f>CONFIGURAR!$D$18</f>
        <v>0.41666666666666669</v>
      </c>
      <c r="C5" s="224"/>
      <c r="D5" s="216" t="str">
        <f>IF(B4="","Vencedor Jogo 1",IF(B4&gt;B6,A4,A6))</f>
        <v>Vencedor Jogo 1</v>
      </c>
      <c r="E5" s="217"/>
      <c r="F5" s="225"/>
      <c r="G5" s="226"/>
      <c r="H5" s="218"/>
      <c r="I5" s="218"/>
      <c r="J5" s="219"/>
      <c r="K5" s="220"/>
      <c r="L5" s="220"/>
    </row>
    <row r="6" spans="1:26" s="221" customFormat="1" ht="23.25" customHeight="1" x14ac:dyDescent="0.2">
      <c r="A6" s="216" t="str">
        <f>CONFIGURAR!AD25</f>
        <v>T</v>
      </c>
      <c r="B6" s="217"/>
      <c r="C6" s="218"/>
      <c r="D6" s="269"/>
      <c r="E6" s="218"/>
      <c r="F6" s="220"/>
      <c r="G6" s="219"/>
      <c r="H6" s="220"/>
      <c r="I6" s="220"/>
      <c r="J6" s="219"/>
      <c r="K6" s="220"/>
      <c r="L6" s="220"/>
      <c r="M6" s="318" t="str">
        <f>IF(CONFIGURAR!$D$11="","",CONFIGURAR!$D$11)</f>
        <v>Xxx Xxxxxxxxxxx</v>
      </c>
      <c r="N6" s="318"/>
      <c r="O6" s="318"/>
      <c r="P6" s="318"/>
      <c r="Q6" s="318"/>
      <c r="R6" s="318"/>
      <c r="S6" s="318"/>
      <c r="T6" s="318"/>
      <c r="U6" s="294">
        <f>IF(CONFIGURAR!$G$10="","",CONFIGURAR!$G$10)</f>
        <v>43523</v>
      </c>
      <c r="V6" s="319">
        <f>IF(CONFIGURAR!$D$10="","",CONFIGURAR!$D$10)</f>
        <v>0.41666666666666669</v>
      </c>
      <c r="W6" s="319"/>
    </row>
    <row r="7" spans="1:26" s="221" customFormat="1" ht="23.25" customHeight="1" x14ac:dyDescent="0.2">
      <c r="A7" s="228"/>
      <c r="B7" s="229"/>
      <c r="C7" s="229"/>
      <c r="D7" s="222" t="s">
        <v>14</v>
      </c>
      <c r="E7" s="245">
        <f>IF(CONFIGURAR!$D$21=1,CONFIGURAR!AD59,IF(CONFIGURAR!$D$21=2,CONFIGURAR!AE59,IF(CONFIGURAR!$D$21=3,CONFIGURAR!AF59,IF(CONFIGURAR!$D$21=4,CONFIGURAR!AG59,IF(CONFIGURAR!$D$21=5,CONFIGURAR!AH59,IF(CONFIGURAR!$D$21=6,CONFIGURAR!AI59,""))))))</f>
        <v>0.47916666666666646</v>
      </c>
      <c r="F7" s="230"/>
      <c r="G7" s="216" t="str">
        <f>IF(E5="","Vencedor Jogo 19",IF(E5&gt;E9,D5,D9))</f>
        <v>Vencedor Jogo 19</v>
      </c>
      <c r="H7" s="217"/>
      <c r="I7" s="225"/>
      <c r="J7" s="219"/>
      <c r="M7" s="322" t="str">
        <f>CONFIGURAR!$D$9</f>
        <v>Xxxxxxx Xxxxxxxxxxxxx</v>
      </c>
      <c r="N7" s="322"/>
      <c r="O7" s="322"/>
      <c r="P7" s="322"/>
      <c r="Q7" s="322"/>
      <c r="R7" s="322"/>
      <c r="S7" s="322"/>
      <c r="T7" s="322"/>
      <c r="U7" s="322"/>
      <c r="V7" s="322"/>
      <c r="W7" s="322"/>
    </row>
    <row r="8" spans="1:26" s="221" customFormat="1" ht="23.25" customHeight="1" x14ac:dyDescent="0.2">
      <c r="A8" s="216" t="str">
        <f>CONFIGURAR!AD21</f>
        <v>P</v>
      </c>
      <c r="B8" s="217"/>
      <c r="C8" s="218"/>
      <c r="D8" s="269"/>
      <c r="E8" s="218"/>
      <c r="F8" s="220"/>
      <c r="H8" s="270"/>
      <c r="I8" s="224"/>
      <c r="M8" s="322"/>
      <c r="N8" s="322"/>
      <c r="O8" s="322"/>
      <c r="P8" s="322"/>
      <c r="Q8" s="322"/>
      <c r="R8" s="322"/>
      <c r="S8" s="322"/>
      <c r="T8" s="322"/>
      <c r="U8" s="322"/>
      <c r="V8" s="322"/>
      <c r="W8" s="322"/>
    </row>
    <row r="9" spans="1:26" s="221" customFormat="1" ht="23.25" customHeight="1" x14ac:dyDescent="0.2">
      <c r="A9" s="222" t="s">
        <v>1</v>
      </c>
      <c r="B9" s="223">
        <f>IF(CONFIGURAR!$D$21=1,CONFIGURAR!AD42,IF(CONFIGURAR!$D$21=2,CONFIGURAR!AE42,IF(CONFIGURAR!$D$21=3,CONFIGURAR!AF42,IF(CONFIGURAR!$D$21=4,CONFIGURAR!AG42,IF(CONFIGURAR!$D$21=5,CONFIGURAR!AH42,IF(CONFIGURAR!$D$21=6,CONFIGURAR!AI42,""))))))</f>
        <v>0.4201388888888889</v>
      </c>
      <c r="C9" s="224"/>
      <c r="D9" s="216" t="str">
        <f>IF(B8="","Vencedor Jogo 2",IF(B8&gt;B10,A8,A10))</f>
        <v>Vencedor Jogo 2</v>
      </c>
      <c r="E9" s="217"/>
      <c r="F9" s="218"/>
      <c r="G9" s="219"/>
      <c r="H9" s="218"/>
      <c r="I9" s="220"/>
      <c r="J9" s="219"/>
      <c r="K9" s="220"/>
      <c r="L9" s="220"/>
      <c r="M9" s="322"/>
      <c r="N9" s="322"/>
      <c r="O9" s="322"/>
      <c r="P9" s="322"/>
      <c r="Q9" s="322"/>
      <c r="R9" s="322"/>
      <c r="S9" s="322"/>
      <c r="T9" s="322"/>
      <c r="U9" s="322"/>
      <c r="V9" s="322"/>
      <c r="W9" s="322"/>
    </row>
    <row r="10" spans="1:26" s="221" customFormat="1" ht="23.25" customHeight="1" x14ac:dyDescent="0.2">
      <c r="A10" s="216" t="str">
        <f>CONFIGURAR!AD13</f>
        <v>H</v>
      </c>
      <c r="B10" s="217"/>
      <c r="C10" s="218"/>
      <c r="D10" s="269"/>
      <c r="E10" s="218"/>
      <c r="F10" s="220"/>
      <c r="G10" s="219"/>
      <c r="H10" s="218"/>
      <c r="I10" s="220"/>
      <c r="J10" s="219"/>
      <c r="K10" s="220"/>
      <c r="L10" s="220"/>
      <c r="M10" s="322"/>
      <c r="N10" s="322"/>
      <c r="O10" s="322"/>
      <c r="P10" s="322"/>
      <c r="Q10" s="322"/>
      <c r="R10" s="322"/>
      <c r="S10" s="322"/>
      <c r="T10" s="322"/>
      <c r="U10" s="322"/>
      <c r="V10" s="322"/>
      <c r="W10" s="322"/>
    </row>
    <row r="11" spans="1:26" s="221" customFormat="1" ht="23.25" customHeight="1" x14ac:dyDescent="0.2">
      <c r="A11" s="228"/>
      <c r="B11" s="229"/>
      <c r="C11" s="229"/>
      <c r="D11" s="271"/>
      <c r="E11" s="270"/>
      <c r="F11" s="224"/>
      <c r="G11" s="222" t="s">
        <v>42</v>
      </c>
      <c r="H11" s="245">
        <f>IF(CONFIGURAR!$D$21=1,CONFIGURAR!AD71,IF(CONFIGURAR!$D$21=2,CONFIGURAR!AE71,IF(CONFIGURAR!$D$21=3,CONFIGURAR!AF71,IF(CONFIGURAR!$D$21=4,CONFIGURAR!AG71,IF(CONFIGURAR!$D$21=5,CONFIGURAR!AH71,IF(CONFIGURAR!$D$21=6,CONFIGURAR!AI71,""))))))</f>
        <v>0.52083333333333304</v>
      </c>
      <c r="I11" s="218"/>
      <c r="J11" s="216" t="str">
        <f>IF(H7="","Vencedor Jogo 31",IF(H7&gt;H15,G7,G15))</f>
        <v>Vencedor Jogo 31</v>
      </c>
      <c r="K11" s="217"/>
      <c r="L11" s="218"/>
      <c r="M11" s="231"/>
      <c r="N11" s="231"/>
      <c r="O11" s="231"/>
      <c r="P11" s="231"/>
      <c r="Q11" s="326" t="str">
        <f>UPPER(CONFIGURAR!$D$12)</f>
        <v>XXXXXXXX</v>
      </c>
      <c r="R11" s="326"/>
      <c r="S11" s="326"/>
      <c r="T11" s="326"/>
      <c r="U11" s="326"/>
      <c r="V11" s="326"/>
      <c r="W11" s="326"/>
      <c r="X11" s="232"/>
    </row>
    <row r="12" spans="1:26" s="221" customFormat="1" ht="23.25" customHeight="1" x14ac:dyDescent="0.2">
      <c r="A12" s="216" t="str">
        <f>CONFIGURAR!AD6</f>
        <v>A</v>
      </c>
      <c r="B12" s="217"/>
      <c r="C12" s="218"/>
      <c r="D12" s="269"/>
      <c r="E12" s="218"/>
      <c r="F12" s="220"/>
      <c r="G12" s="219"/>
      <c r="H12" s="218"/>
      <c r="I12" s="220"/>
      <c r="J12" s="219"/>
      <c r="K12" s="272"/>
      <c r="L12" s="220"/>
      <c r="M12" s="219"/>
      <c r="N12" s="219"/>
      <c r="O12" s="219"/>
      <c r="P12" s="219"/>
      <c r="Q12" s="326"/>
      <c r="R12" s="326"/>
      <c r="S12" s="326"/>
      <c r="T12" s="326"/>
      <c r="U12" s="326"/>
      <c r="V12" s="326"/>
      <c r="W12" s="326"/>
      <c r="X12" s="232"/>
    </row>
    <row r="13" spans="1:26" s="221" customFormat="1" ht="23.25" customHeight="1" x14ac:dyDescent="0.2">
      <c r="A13" s="222" t="s">
        <v>4</v>
      </c>
      <c r="B13" s="223">
        <f>IF(CONFIGURAR!$D$21=1,CONFIGURAR!AD43,IF(CONFIGURAR!$D$21=2,CONFIGURAR!AE43,IF(CONFIGURAR!$D$21=3,CONFIGURAR!AF43,IF(CONFIGURAR!$D$21=4,CONFIGURAR!AG43,IF(CONFIGURAR!$D$21=5,CONFIGURAR!AH43,IF(CONFIGURAR!$D$21=6,CONFIGURAR!AI43,""))))))</f>
        <v>0.4236111111111111</v>
      </c>
      <c r="C13" s="224"/>
      <c r="D13" s="216" t="str">
        <f>IF(B12="","Vencedor Jogo 3",IF(B12&gt;B14,A12,A14))</f>
        <v>Vencedor Jogo 3</v>
      </c>
      <c r="E13" s="217"/>
      <c r="F13" s="218"/>
      <c r="G13" s="219"/>
      <c r="H13" s="218"/>
      <c r="I13" s="220"/>
      <c r="J13" s="233"/>
      <c r="K13" s="272"/>
      <c r="L13" s="220"/>
      <c r="M13" s="219"/>
      <c r="N13" s="219"/>
      <c r="O13" s="219"/>
      <c r="P13" s="219"/>
      <c r="Q13" s="327" t="str">
        <f>IF(W2=1,"FEMININO",IF(W2=2,"MASCULINO",IF(W2=3,"MISTO","")))</f>
        <v>MASCULINO</v>
      </c>
      <c r="R13" s="327"/>
      <c r="S13" s="327"/>
      <c r="T13" s="327"/>
      <c r="U13" s="327"/>
      <c r="V13" s="327"/>
      <c r="W13" s="327"/>
    </row>
    <row r="14" spans="1:26" s="221" customFormat="1" ht="23.25" customHeight="1" x14ac:dyDescent="0.2">
      <c r="A14" s="216" t="str">
        <f>CONFIGURAR!AD29</f>
        <v>X</v>
      </c>
      <c r="B14" s="217"/>
      <c r="C14" s="218"/>
      <c r="D14" s="269"/>
      <c r="E14" s="218"/>
      <c r="F14" s="220"/>
      <c r="G14" s="219"/>
      <c r="H14" s="218"/>
      <c r="I14" s="220"/>
      <c r="J14" s="219"/>
      <c r="K14" s="272"/>
      <c r="L14" s="220"/>
      <c r="M14" s="219"/>
      <c r="N14" s="219"/>
      <c r="O14" s="219"/>
      <c r="P14" s="219"/>
      <c r="Q14" s="327"/>
      <c r="R14" s="327"/>
      <c r="S14" s="327"/>
      <c r="T14" s="327"/>
      <c r="U14" s="327"/>
      <c r="V14" s="327"/>
      <c r="W14" s="327"/>
      <c r="Y14" s="273"/>
    </row>
    <row r="15" spans="1:26" s="221" customFormat="1" ht="23.25" customHeight="1" x14ac:dyDescent="0.2">
      <c r="A15" s="228"/>
      <c r="B15" s="229"/>
      <c r="C15" s="229"/>
      <c r="D15" s="222" t="s">
        <v>15</v>
      </c>
      <c r="E15" s="245">
        <f>IF(CONFIGURAR!$D$21=1,CONFIGURAR!AD60,IF(CONFIGURAR!$D$21=2,CONFIGURAR!AE60,IF(CONFIGURAR!$D$21=3,CONFIGURAR!AF60,IF(CONFIGURAR!$D$21=4,CONFIGURAR!AG60,IF(CONFIGURAR!$D$21=5,CONFIGURAR!AH60,IF(CONFIGURAR!$D$21=6,CONFIGURAR!AI60,""))))))</f>
        <v>0.48263888888888867</v>
      </c>
      <c r="F15" s="230"/>
      <c r="G15" s="216" t="str">
        <f>IF(E13="","Vencedor Jogo 20",IF(E13&gt;E17,D13,D17))</f>
        <v>Vencedor Jogo 20</v>
      </c>
      <c r="H15" s="217"/>
      <c r="I15" s="225"/>
      <c r="K15" s="274"/>
      <c r="L15" s="224"/>
      <c r="S15" s="220"/>
      <c r="X15" s="234"/>
      <c r="Y15" s="273"/>
    </row>
    <row r="16" spans="1:26" s="221" customFormat="1" ht="23.25" customHeight="1" x14ac:dyDescent="0.2">
      <c r="A16" s="216" t="str">
        <f>CONFIGURAR!AD18</f>
        <v>M</v>
      </c>
      <c r="B16" s="217"/>
      <c r="C16" s="218"/>
      <c r="D16" s="269"/>
      <c r="E16" s="218"/>
      <c r="F16" s="220"/>
      <c r="G16" s="219"/>
      <c r="H16" s="218"/>
      <c r="I16" s="220"/>
      <c r="J16" s="219"/>
      <c r="K16" s="272"/>
      <c r="L16" s="220"/>
      <c r="M16" s="219"/>
      <c r="N16" s="219"/>
      <c r="O16" s="219"/>
      <c r="P16" s="219"/>
      <c r="Q16" s="219"/>
      <c r="R16" s="219"/>
      <c r="S16" s="220"/>
      <c r="T16" s="220"/>
      <c r="U16" s="235"/>
      <c r="V16" s="235"/>
      <c r="W16" s="236"/>
      <c r="X16" s="234"/>
      <c r="Y16" s="273"/>
    </row>
    <row r="17" spans="1:27" s="221" customFormat="1" ht="23.25" customHeight="1" x14ac:dyDescent="0.2">
      <c r="A17" s="222" t="s">
        <v>2</v>
      </c>
      <c r="B17" s="223">
        <f>IF(CONFIGURAR!$D$21=1,CONFIGURAR!AD44,IF(CONFIGURAR!$D$21=2,CONFIGURAR!AE44,IF(CONFIGURAR!$D$21=3,CONFIGURAR!AF44,IF(CONFIGURAR!$D$21=4,CONFIGURAR!AG44,IF(CONFIGURAR!$D$21=5,CONFIGURAR!AH44,IF(CONFIGURAR!$D$21=6,CONFIGURAR!AI44,""))))))</f>
        <v>0.42708333333333331</v>
      </c>
      <c r="C17" s="224"/>
      <c r="D17" s="216" t="str">
        <f>IF(B16="","Vencedor Jogo 4",IF(B16&gt;B18,A16,A18))</f>
        <v>Vencedor Jogo 4</v>
      </c>
      <c r="E17" s="217"/>
      <c r="F17" s="218"/>
      <c r="G17" s="219"/>
      <c r="H17" s="218"/>
      <c r="I17" s="220"/>
      <c r="J17" s="237"/>
      <c r="K17" s="275"/>
      <c r="L17" s="220"/>
      <c r="S17" s="238"/>
      <c r="T17" s="238"/>
      <c r="X17" s="234"/>
      <c r="Y17" s="273"/>
    </row>
    <row r="18" spans="1:27" s="221" customFormat="1" ht="23.25" customHeight="1" x14ac:dyDescent="0.2">
      <c r="A18" s="216" t="str">
        <f>CONFIGURAR!AD15</f>
        <v>J</v>
      </c>
      <c r="B18" s="217"/>
      <c r="C18" s="218"/>
      <c r="D18" s="226"/>
      <c r="E18" s="218"/>
      <c r="F18" s="220"/>
      <c r="G18" s="219"/>
      <c r="H18" s="218"/>
      <c r="J18" s="222" t="s">
        <v>49</v>
      </c>
      <c r="K18" s="245">
        <f>IF(CONFIGURAR!$D$21=1,CONFIGURAR!AD78,IF(CONFIGURAR!$D$21=2,CONFIGURAR!AE78,IF(CONFIGURAR!$D$21=3,CONFIGURAR!AF78,IF(CONFIGURAR!$D$21=4,CONFIGURAR!AG78,IF(CONFIGURAR!$D$21=5,CONFIGURAR!AH78,IF(CONFIGURAR!$D$21=6,CONFIGURAR!AI78,""))))))</f>
        <v>0.54513888888888851</v>
      </c>
      <c r="L18" s="220"/>
      <c r="M18" s="216" t="str">
        <f>IF(K11="","Vencedor Jogo 38",IF(K11&gt;K27,J11,J27))</f>
        <v>Vencedor Jogo 38</v>
      </c>
      <c r="N18" s="217"/>
      <c r="O18" s="219"/>
      <c r="P18" s="219"/>
      <c r="Q18" s="219"/>
      <c r="R18" s="219"/>
      <c r="S18" s="220"/>
      <c r="T18" s="220"/>
      <c r="X18" s="234"/>
      <c r="Y18" s="273"/>
    </row>
    <row r="19" spans="1:27" s="221" customFormat="1" ht="23.25" customHeight="1" x14ac:dyDescent="0.2">
      <c r="A19" s="228"/>
      <c r="B19" s="229"/>
      <c r="C19" s="229"/>
      <c r="D19" s="271"/>
      <c r="E19" s="270"/>
      <c r="F19" s="224"/>
      <c r="H19" s="218"/>
      <c r="J19" s="239"/>
      <c r="K19" s="272"/>
      <c r="L19" s="230"/>
      <c r="M19" s="226"/>
      <c r="N19" s="226"/>
      <c r="O19" s="226"/>
      <c r="P19" s="226"/>
      <c r="Q19" s="226"/>
      <c r="R19" s="226"/>
      <c r="S19" s="225"/>
      <c r="T19" s="325" t="str">
        <f>IF(W48&lt;W51,U51,IF(W48&gt;W51,U48,(IF(V48="","Vencedor da Final",IF(V48&gt;V51,U48,IF(V48&lt;V51,"Vencedor Finalíssima",U48))))))</f>
        <v>Vencedor da Final</v>
      </c>
      <c r="U19" s="325"/>
      <c r="V19" s="325"/>
      <c r="W19" s="325"/>
      <c r="X19" s="234"/>
      <c r="Y19" s="273"/>
    </row>
    <row r="20" spans="1:27" s="221" customFormat="1" ht="23.25" customHeight="1" x14ac:dyDescent="0.2">
      <c r="A20" s="216" t="str">
        <f>CONFIGURAR!AD7</f>
        <v>B</v>
      </c>
      <c r="B20" s="217"/>
      <c r="C20" s="218"/>
      <c r="D20" s="269"/>
      <c r="E20" s="218"/>
      <c r="F20" s="220"/>
      <c r="G20" s="219"/>
      <c r="H20" s="218"/>
      <c r="I20" s="220"/>
      <c r="J20" s="219"/>
      <c r="K20" s="272"/>
      <c r="L20" s="220"/>
      <c r="T20" s="325"/>
      <c r="U20" s="325"/>
      <c r="V20" s="325"/>
      <c r="W20" s="325"/>
      <c r="X20" s="234"/>
      <c r="Y20" s="273"/>
    </row>
    <row r="21" spans="1:27" s="221" customFormat="1" ht="23.25" customHeight="1" x14ac:dyDescent="0.2">
      <c r="A21" s="222" t="s">
        <v>5</v>
      </c>
      <c r="B21" s="223">
        <f>IF(CONFIGURAR!$D$21=1,CONFIGURAR!AD45,IF(CONFIGURAR!$D$21=2,CONFIGURAR!AE45,IF(CONFIGURAR!$D$21=3,CONFIGURAR!AF45,IF(CONFIGURAR!$D$21=4,CONFIGURAR!AG45,IF(CONFIGURAR!$D$21=5,CONFIGURAR!AH45,IF(CONFIGURAR!$D$21=6,CONFIGURAR!AI45,""))))))</f>
        <v>0.43055555555555552</v>
      </c>
      <c r="C21" s="224"/>
      <c r="D21" s="216" t="str">
        <f>IF(B20="","Vencedor Jogo 5",IF(B20&gt;B22,A20,A22))</f>
        <v>Vencedor Jogo 5</v>
      </c>
      <c r="E21" s="217"/>
      <c r="F21" s="218"/>
      <c r="G21" s="219"/>
      <c r="H21" s="218"/>
      <c r="I21" s="220"/>
      <c r="J21" s="219"/>
      <c r="K21" s="272"/>
      <c r="L21" s="220"/>
      <c r="T21" s="325"/>
      <c r="U21" s="325"/>
      <c r="V21" s="325"/>
      <c r="W21" s="325"/>
      <c r="X21" s="234"/>
      <c r="Y21" s="273"/>
    </row>
    <row r="22" spans="1:27" s="221" customFormat="1" ht="23.25" customHeight="1" x14ac:dyDescent="0.2">
      <c r="A22" s="216" t="str">
        <f>CONFIGURAR!AD28</f>
        <v>W</v>
      </c>
      <c r="B22" s="217"/>
      <c r="C22" s="218"/>
      <c r="D22" s="269"/>
      <c r="E22" s="218"/>
      <c r="F22" s="220"/>
      <c r="G22" s="237"/>
      <c r="H22" s="223"/>
      <c r="I22" s="220"/>
      <c r="J22" s="219"/>
      <c r="K22" s="272"/>
      <c r="L22" s="220"/>
      <c r="M22" s="219"/>
      <c r="N22" s="219"/>
      <c r="O22" s="219"/>
      <c r="P22" s="219"/>
      <c r="Q22" s="219"/>
      <c r="R22" s="219"/>
      <c r="S22" s="220"/>
      <c r="T22" s="220"/>
      <c r="U22" s="219"/>
      <c r="V22" s="219"/>
      <c r="W22" s="220"/>
      <c r="X22" s="234"/>
      <c r="Y22" s="273"/>
    </row>
    <row r="23" spans="1:27" s="221" customFormat="1" ht="23.25" customHeight="1" x14ac:dyDescent="0.2">
      <c r="A23" s="228"/>
      <c r="B23" s="229"/>
      <c r="C23" s="229"/>
      <c r="D23" s="222" t="s">
        <v>16</v>
      </c>
      <c r="E23" s="245">
        <f>IF(CONFIGURAR!$D$21=1,CONFIGURAR!AD61,IF(CONFIGURAR!$D$21=2,CONFIGURAR!AE61,IF(CONFIGURAR!$D$21=3,CONFIGURAR!AF61,IF(CONFIGURAR!$D$21=4,CONFIGURAR!AG61,IF(CONFIGURAR!$D$21=5,CONFIGURAR!AH61,IF(CONFIGURAR!$D$21=6,CONFIGURAR!AI61,""))))))</f>
        <v>0.48611111111111088</v>
      </c>
      <c r="F23" s="230"/>
      <c r="G23" s="216" t="str">
        <f>IF(E21="","Vencedor Jogo 21",IF(E21&gt;E25,D21,D25))</f>
        <v>Vencedor Jogo 21</v>
      </c>
      <c r="H23" s="217"/>
      <c r="I23" s="240"/>
      <c r="K23" s="274"/>
      <c r="L23" s="218"/>
      <c r="M23" s="219"/>
      <c r="N23" s="219"/>
      <c r="O23" s="219"/>
      <c r="P23" s="219"/>
      <c r="Q23" s="219"/>
      <c r="R23" s="219"/>
      <c r="S23" s="220"/>
      <c r="T23" s="220"/>
      <c r="U23" s="219"/>
      <c r="V23" s="219"/>
      <c r="W23" s="220"/>
      <c r="X23" s="234"/>
      <c r="Y23" s="273"/>
    </row>
    <row r="24" spans="1:27" s="221" customFormat="1" ht="23.25" customHeight="1" x14ac:dyDescent="0.2">
      <c r="A24" s="216" t="str">
        <f>CONFIGURAR!AD11</f>
        <v>F</v>
      </c>
      <c r="B24" s="217"/>
      <c r="C24" s="218"/>
      <c r="D24" s="269"/>
      <c r="E24" s="218"/>
      <c r="F24" s="220"/>
      <c r="G24" s="219"/>
      <c r="H24" s="218"/>
      <c r="I24" s="220"/>
      <c r="J24" s="219"/>
      <c r="K24" s="272"/>
      <c r="L24" s="220"/>
      <c r="M24" s="219"/>
      <c r="N24" s="219"/>
      <c r="O24" s="219"/>
      <c r="P24" s="219"/>
      <c r="Q24" s="219"/>
      <c r="R24" s="219"/>
      <c r="S24" s="220"/>
      <c r="T24" s="220"/>
      <c r="U24" s="219"/>
      <c r="V24" s="219"/>
      <c r="W24" s="220"/>
      <c r="X24" s="234"/>
      <c r="Y24" s="273"/>
      <c r="AA24" s="234"/>
    </row>
    <row r="25" spans="1:27" s="221" customFormat="1" ht="23.25" customHeight="1" x14ac:dyDescent="0.2">
      <c r="A25" s="222" t="s">
        <v>3</v>
      </c>
      <c r="B25" s="223">
        <f>IF(CONFIGURAR!$D$21=1,CONFIGURAR!AD46,IF(CONFIGURAR!$D$21=2,CONFIGURAR!AE46,IF(CONFIGURAR!$D$21=3,CONFIGURAR!AF46,IF(CONFIGURAR!$D$21=4,CONFIGURAR!AG46,IF(CONFIGURAR!$D$21=5,CONFIGURAR!AH46,IF(CONFIGURAR!$D$21=6,CONFIGURAR!AI46,""))))))</f>
        <v>0.43402777777777773</v>
      </c>
      <c r="C25" s="224"/>
      <c r="D25" s="216" t="str">
        <f>IF(B24="","Vencedor Jogo 6",IF(B24&gt;B26,A24,A26))</f>
        <v>Vencedor Jogo 6</v>
      </c>
      <c r="E25" s="217"/>
      <c r="F25" s="218"/>
      <c r="G25" s="219"/>
      <c r="H25" s="218"/>
      <c r="I25" s="220"/>
      <c r="J25" s="219"/>
      <c r="K25" s="272"/>
      <c r="L25" s="220"/>
      <c r="M25" s="219"/>
      <c r="N25" s="219"/>
      <c r="O25" s="219"/>
      <c r="P25" s="219"/>
      <c r="Q25" s="219"/>
      <c r="R25" s="219"/>
      <c r="S25" s="220"/>
      <c r="T25" s="320" t="str">
        <f>IF(W48&lt;W51,U48,IF(W48&gt;W51,U51,IF(V48="","Derrotado da Final",IF(V48&lt;V51,"Derrotado Finalíssima",IF(V48&lt;V51,U48,U51)))))</f>
        <v>Derrotado da Final</v>
      </c>
      <c r="U25" s="320"/>
      <c r="V25" s="320"/>
      <c r="W25" s="320"/>
      <c r="X25" s="234"/>
      <c r="Y25" s="273"/>
      <c r="AA25" s="234"/>
    </row>
    <row r="26" spans="1:27" s="221" customFormat="1" ht="23.25" customHeight="1" x14ac:dyDescent="0.2">
      <c r="A26" s="216" t="str">
        <f>CONFIGURAR!AD23</f>
        <v>R</v>
      </c>
      <c r="B26" s="217"/>
      <c r="C26" s="218"/>
      <c r="D26" s="269"/>
      <c r="E26" s="218"/>
      <c r="F26" s="220"/>
      <c r="G26" s="219"/>
      <c r="H26" s="218"/>
      <c r="I26" s="220"/>
      <c r="J26" s="219"/>
      <c r="K26" s="272"/>
      <c r="L26" s="220"/>
      <c r="M26" s="219"/>
      <c r="N26" s="219"/>
      <c r="O26" s="219"/>
      <c r="P26" s="219"/>
      <c r="Q26" s="219"/>
      <c r="R26" s="219"/>
      <c r="S26" s="220"/>
      <c r="T26" s="320"/>
      <c r="U26" s="320"/>
      <c r="V26" s="320"/>
      <c r="W26" s="320"/>
      <c r="X26" s="234"/>
      <c r="Y26" s="273"/>
      <c r="AA26" s="234"/>
    </row>
    <row r="27" spans="1:27" s="221" customFormat="1" ht="23.25" customHeight="1" x14ac:dyDescent="0.2">
      <c r="A27" s="242"/>
      <c r="B27" s="218"/>
      <c r="C27" s="218"/>
      <c r="D27" s="269"/>
      <c r="E27" s="218"/>
      <c r="F27" s="220"/>
      <c r="G27" s="222" t="s">
        <v>43</v>
      </c>
      <c r="H27" s="245">
        <f>IF(CONFIGURAR!$D$21=1,CONFIGURAR!AD72,IF(CONFIGURAR!$D$21=2,CONFIGURAR!AE72,IF(CONFIGURAR!$D$21=3,CONFIGURAR!AF72,IF(CONFIGURAR!$D$21=4,CONFIGURAR!AG72,IF(CONFIGURAR!$D$21=5,CONFIGURAR!AH72,IF(CONFIGURAR!$D$21=6,CONFIGURAR!AI72,""))))))</f>
        <v>0.52430555555555525</v>
      </c>
      <c r="I27" s="220"/>
      <c r="J27" s="216" t="str">
        <f>IF(H23="","Vencedor Jogo 32",IF(H23&gt;H31,G23,G31))</f>
        <v>Vencedor Jogo 32</v>
      </c>
      <c r="K27" s="217"/>
      <c r="L27" s="220"/>
      <c r="N27" s="219"/>
      <c r="O27" s="219"/>
      <c r="P27" s="219"/>
      <c r="Q27" s="219"/>
      <c r="R27" s="219"/>
      <c r="S27" s="220"/>
      <c r="T27" s="220"/>
      <c r="U27" s="244"/>
      <c r="V27" s="241"/>
      <c r="W27" s="241"/>
      <c r="X27" s="234"/>
      <c r="Y27" s="273"/>
      <c r="AA27" s="234"/>
    </row>
    <row r="28" spans="1:27" s="221" customFormat="1" ht="23.25" customHeight="1" x14ac:dyDescent="0.2">
      <c r="A28" s="216" t="str">
        <f>CONFIGURAR!AD19</f>
        <v>N</v>
      </c>
      <c r="B28" s="217"/>
      <c r="C28" s="218"/>
      <c r="D28" s="269"/>
      <c r="E28" s="218"/>
      <c r="F28" s="220"/>
      <c r="G28" s="219"/>
      <c r="H28" s="218"/>
      <c r="I28" s="220"/>
      <c r="J28" s="213"/>
      <c r="K28" s="276"/>
      <c r="L28" s="213"/>
      <c r="N28" s="219"/>
      <c r="O28" s="219"/>
      <c r="P28" s="219"/>
      <c r="Q28" s="219"/>
      <c r="R28" s="219"/>
      <c r="S28" s="220"/>
      <c r="T28" s="220"/>
      <c r="U28" s="244"/>
      <c r="V28" s="241"/>
      <c r="W28" s="241"/>
      <c r="X28" s="234"/>
      <c r="Y28" s="273"/>
      <c r="AA28" s="234"/>
    </row>
    <row r="29" spans="1:27" s="221" customFormat="1" ht="23.25" customHeight="1" x14ac:dyDescent="0.2">
      <c r="A29" s="222" t="s">
        <v>9</v>
      </c>
      <c r="B29" s="223">
        <f>IF(CONFIGURAR!$D$21=1,CONFIGURAR!AD47,IF(CONFIGURAR!$D$21=2,CONFIGURAR!AE47,IF(CONFIGURAR!$D$21=3,CONFIGURAR!AF47,IF(CONFIGURAR!$D$21=4,CONFIGURAR!AG47,IF(CONFIGURAR!$D$21=5,CONFIGURAR!AH47,IF(CONFIGURAR!$D$21=6,CONFIGURAR!AI47,""))))))</f>
        <v>0.43749999999999994</v>
      </c>
      <c r="C29" s="224"/>
      <c r="D29" s="216" t="str">
        <f>IF(B28="","Vencedor Jogo 7",IF(B28&gt;B30,A28,A30))</f>
        <v>Vencedor Jogo 7</v>
      </c>
      <c r="E29" s="217"/>
      <c r="F29" s="225"/>
      <c r="G29" s="226"/>
      <c r="H29" s="218"/>
      <c r="I29" s="218"/>
      <c r="J29" s="219"/>
      <c r="K29" s="272"/>
      <c r="L29" s="220"/>
      <c r="M29" s="222" t="s">
        <v>53</v>
      </c>
      <c r="N29" s="245">
        <f>IF(CONFIGURAR!$D$21=1,CONFIGURAR!AD82,IF(CONFIGURAR!$D$21=2,CONFIGURAR!AE82,IF(CONFIGURAR!$D$21=3,CONFIGURAR!AF82,IF(CONFIGURAR!$D$21=4,CONFIGURAR!AG82,IF(CONFIGURAR!$D$21=5,CONFIGURAR!AH82,IF(CONFIGURAR!$D$21=6,CONFIGURAR!AI82+CONFIGURAR!$D$19+CONFIGURAR!$D$20,""))))))</f>
        <v>0.55902777777777735</v>
      </c>
      <c r="O29" s="219"/>
      <c r="P29" s="219"/>
      <c r="Q29" s="219"/>
      <c r="R29" s="219"/>
      <c r="S29" s="220"/>
      <c r="T29" s="220"/>
      <c r="U29" s="244"/>
      <c r="V29" s="241"/>
      <c r="W29" s="241"/>
      <c r="X29" s="234"/>
      <c r="Y29" s="273"/>
      <c r="AA29" s="234"/>
    </row>
    <row r="30" spans="1:27" s="221" customFormat="1" ht="23.25" customHeight="1" x14ac:dyDescent="0.2">
      <c r="A30" s="216" t="str">
        <f>CONFIGURAR!AD27</f>
        <v>V</v>
      </c>
      <c r="B30" s="217"/>
      <c r="C30" s="218"/>
      <c r="D30" s="269"/>
      <c r="E30" s="218"/>
      <c r="F30" s="220"/>
      <c r="G30" s="219"/>
      <c r="H30" s="218"/>
      <c r="I30" s="220"/>
      <c r="J30" s="219"/>
      <c r="K30" s="272"/>
      <c r="L30" s="220"/>
      <c r="N30" s="219"/>
      <c r="O30" s="219"/>
      <c r="R30" s="219"/>
      <c r="S30" s="220"/>
      <c r="T30" s="321" t="str">
        <f>IF(Q61="","Derrotado Jogo 45",IF(Q61&lt;Q72,P61,P72))</f>
        <v>Derrotado Jogo 45</v>
      </c>
      <c r="U30" s="321" t="str">
        <f>IF(Q8="","1º Finalista",IF(Q8&gt;K20,J8,J20))</f>
        <v>1º Finalista</v>
      </c>
      <c r="V30" s="321" t="str">
        <f>IF(R8="","1º Finalista",IF(R8&gt;L20,Q8,K20))</f>
        <v>1º Finalista</v>
      </c>
      <c r="W30" s="321" t="str">
        <f>IF(S8="","1º Finalista",IF(S8&gt;M20,R8,L20))</f>
        <v>1º Finalista</v>
      </c>
      <c r="X30" s="234"/>
      <c r="Y30" s="273"/>
      <c r="AA30" s="234"/>
    </row>
    <row r="31" spans="1:27" s="221" customFormat="1" ht="23.25" customHeight="1" x14ac:dyDescent="0.2">
      <c r="A31" s="228"/>
      <c r="B31" s="229"/>
      <c r="C31" s="229"/>
      <c r="D31" s="222" t="s">
        <v>34</v>
      </c>
      <c r="E31" s="245">
        <f>IF(CONFIGURAR!$D$21=1,CONFIGURAR!AD62,IF(CONFIGURAR!$D$21=2,CONFIGURAR!AE62,IF(CONFIGURAR!$D$21=3,CONFIGURAR!AF62,IF(CONFIGURAR!$D$21=4,CONFIGURAR!AG62,IF(CONFIGURAR!$D$21=5,CONFIGURAR!AH62,IF(CONFIGURAR!$D$21=6,CONFIGURAR!AI62,""))))))</f>
        <v>0.48958333333333309</v>
      </c>
      <c r="F31" s="230"/>
      <c r="G31" s="216" t="str">
        <f>IF(E29="","Vencedor Jogo 22",IF(E29&gt;E33,D29,D33))</f>
        <v>Vencedor Jogo 22</v>
      </c>
      <c r="H31" s="217"/>
      <c r="I31" s="225"/>
      <c r="J31" s="219"/>
      <c r="K31" s="272"/>
      <c r="L31" s="220"/>
      <c r="N31" s="219"/>
      <c r="O31" s="219"/>
      <c r="R31" s="219"/>
      <c r="S31" s="220"/>
      <c r="T31" s="321" t="str">
        <f>IF(J9="","1º Finalista",IF(J9&gt;J21,I9,I21))</f>
        <v>1º Finalista</v>
      </c>
      <c r="U31" s="321" t="str">
        <f>IF(K9="","1º Finalista",IF(K9&gt;K21,J9,J21))</f>
        <v>1º Finalista</v>
      </c>
      <c r="V31" s="321" t="str">
        <f>IF(L9="","1º Finalista",IF(L9&gt;L21,K9,K21))</f>
        <v>1º Finalista</v>
      </c>
      <c r="W31" s="321" t="str">
        <f>IF(M10="","1º Finalista",IF(M10&gt;M21,L9,L21))</f>
        <v>1º Finalista</v>
      </c>
    </row>
    <row r="32" spans="1:27" s="221" customFormat="1" ht="23.25" customHeight="1" x14ac:dyDescent="0.2">
      <c r="A32" s="216" t="str">
        <f>CONFIGURAR!AD24</f>
        <v>S</v>
      </c>
      <c r="B32" s="217"/>
      <c r="C32" s="218"/>
      <c r="D32" s="269"/>
      <c r="E32" s="218"/>
      <c r="F32" s="220"/>
      <c r="H32" s="270"/>
      <c r="I32" s="224"/>
      <c r="K32" s="274"/>
      <c r="N32" s="219"/>
      <c r="O32" s="219"/>
      <c r="P32" s="219"/>
      <c r="Q32" s="219"/>
      <c r="R32" s="219"/>
      <c r="S32" s="220"/>
    </row>
    <row r="33" spans="1:27" s="221" customFormat="1" ht="23.25" customHeight="1" x14ac:dyDescent="0.2">
      <c r="A33" s="222" t="s">
        <v>27</v>
      </c>
      <c r="B33" s="223">
        <f>IF(CONFIGURAR!$D$21=1,CONFIGURAR!AD48,IF(CONFIGURAR!$D$21=2,CONFIGURAR!AE48,IF(CONFIGURAR!$D$21=3,CONFIGURAR!AF48,IF(CONFIGURAR!$D$21=4,CONFIGURAR!AG48,IF(CONFIGURAR!$D$21=5,CONFIGURAR!AH48,IF(CONFIGURAR!$D$21=6,CONFIGURAR!AI48,""))))))</f>
        <v>0.44097222222222215</v>
      </c>
      <c r="C33" s="224"/>
      <c r="D33" s="216" t="str">
        <f>IF(B32="","Vencedor Jogo 8",IF(B32&gt;B34,A32,A34))</f>
        <v>Vencedor Jogo 8</v>
      </c>
      <c r="E33" s="217"/>
      <c r="F33" s="218"/>
      <c r="G33" s="219"/>
      <c r="H33" s="218"/>
      <c r="I33" s="220"/>
      <c r="J33" s="219"/>
      <c r="K33" s="272"/>
      <c r="L33" s="220"/>
      <c r="N33" s="219"/>
      <c r="O33" s="219"/>
      <c r="P33" s="219"/>
      <c r="Q33" s="219"/>
      <c r="R33" s="219"/>
      <c r="S33" s="220"/>
      <c r="T33" s="220"/>
      <c r="U33" s="244"/>
      <c r="V33" s="241"/>
      <c r="W33" s="241"/>
      <c r="X33" s="234"/>
      <c r="Y33" s="273"/>
      <c r="AA33" s="234"/>
    </row>
    <row r="34" spans="1:27" s="221" customFormat="1" ht="23.25" customHeight="1" x14ac:dyDescent="0.2">
      <c r="A34" s="216" t="str">
        <f>CONFIGURAR!AD20</f>
        <v>O</v>
      </c>
      <c r="B34" s="217"/>
      <c r="C34" s="218"/>
      <c r="D34" s="269"/>
      <c r="E34" s="218"/>
      <c r="F34" s="220"/>
      <c r="G34" s="219"/>
      <c r="H34" s="218"/>
      <c r="I34" s="220"/>
      <c r="J34" s="219"/>
      <c r="K34" s="272"/>
      <c r="L34" s="220"/>
      <c r="N34" s="219"/>
      <c r="O34" s="219"/>
      <c r="P34" s="219"/>
      <c r="Q34" s="219"/>
      <c r="R34" s="219"/>
      <c r="S34" s="220"/>
      <c r="T34" s="220"/>
      <c r="U34" s="244"/>
      <c r="V34" s="241"/>
      <c r="W34" s="241"/>
      <c r="X34" s="234"/>
      <c r="Y34" s="273"/>
      <c r="AA34" s="234"/>
    </row>
    <row r="35" spans="1:27" s="221" customFormat="1" ht="23.25" customHeight="1" x14ac:dyDescent="0.2">
      <c r="A35" s="228"/>
      <c r="B35" s="229"/>
      <c r="C35" s="229"/>
      <c r="D35" s="271"/>
      <c r="E35" s="270"/>
      <c r="F35" s="224"/>
      <c r="G35" s="237"/>
      <c r="H35" s="223"/>
      <c r="I35" s="218"/>
      <c r="K35" s="274"/>
      <c r="L35" s="218"/>
      <c r="N35" s="219"/>
      <c r="O35" s="219"/>
      <c r="P35" s="219"/>
      <c r="Q35" s="219"/>
      <c r="R35" s="219"/>
      <c r="S35" s="220"/>
      <c r="T35" s="220"/>
      <c r="U35" s="244"/>
      <c r="V35" s="241"/>
      <c r="W35" s="241"/>
      <c r="X35" s="234"/>
      <c r="Y35" s="273"/>
      <c r="AA35" s="234"/>
    </row>
    <row r="36" spans="1:27" s="221" customFormat="1" ht="23.25" customHeight="1" x14ac:dyDescent="0.2">
      <c r="A36" s="216" t="str">
        <f>CONFIGURAR!AD16</f>
        <v>K</v>
      </c>
      <c r="B36" s="217"/>
      <c r="C36" s="218"/>
      <c r="D36" s="269"/>
      <c r="E36" s="218"/>
      <c r="F36" s="220"/>
      <c r="G36" s="219"/>
      <c r="H36" s="218"/>
      <c r="I36" s="220"/>
      <c r="J36" s="219"/>
      <c r="K36" s="272"/>
      <c r="L36" s="220"/>
      <c r="N36" s="219"/>
      <c r="O36" s="219"/>
      <c r="Q36" s="219"/>
      <c r="R36" s="219"/>
      <c r="S36" s="220"/>
      <c r="T36" s="220"/>
      <c r="U36" s="244"/>
      <c r="V36" s="241"/>
      <c r="W36" s="241"/>
      <c r="X36" s="234"/>
      <c r="Y36" s="273"/>
      <c r="AA36" s="234"/>
    </row>
    <row r="37" spans="1:27" s="221" customFormat="1" ht="23.25" customHeight="1" x14ac:dyDescent="0.2">
      <c r="A37" s="222" t="s">
        <v>28</v>
      </c>
      <c r="B37" s="223">
        <f>IF(CONFIGURAR!$D$21=1,CONFIGURAR!AD49,IF(CONFIGURAR!$D$21=2,CONFIGURAR!AE49,IF(CONFIGURAR!$D$21=3,CONFIGURAR!AF49,IF(CONFIGURAR!$D$21=4,CONFIGURAR!AG49,IF(CONFIGURAR!$D$21=5,CONFIGURAR!AH49,IF(CONFIGURAR!$D$21=6,CONFIGURAR!AI49,""))))))</f>
        <v>0.44444444444444436</v>
      </c>
      <c r="C37" s="224"/>
      <c r="D37" s="216" t="str">
        <f>IF(B36="","Vencedor Jogo 9",IF(B36&gt;B38,A36,A38))</f>
        <v>Vencedor Jogo 9</v>
      </c>
      <c r="E37" s="217"/>
      <c r="F37" s="218"/>
      <c r="G37" s="219"/>
      <c r="H37" s="218"/>
      <c r="I37" s="220"/>
      <c r="J37" s="233"/>
      <c r="K37" s="272"/>
      <c r="L37" s="220"/>
      <c r="N37" s="219"/>
      <c r="O37" s="219"/>
      <c r="Q37" s="219"/>
      <c r="R37" s="219"/>
      <c r="S37" s="220"/>
      <c r="T37" s="220"/>
      <c r="U37" s="244"/>
      <c r="V37" s="241"/>
      <c r="W37" s="241"/>
      <c r="X37" s="234"/>
      <c r="Y37" s="273"/>
      <c r="AA37" s="234"/>
    </row>
    <row r="38" spans="1:27" s="221" customFormat="1" ht="23.25" customHeight="1" x14ac:dyDescent="0.2">
      <c r="A38" s="216" t="str">
        <f>CONFIGURAR!AD9</f>
        <v>D</v>
      </c>
      <c r="B38" s="217"/>
      <c r="C38" s="218"/>
      <c r="D38" s="269"/>
      <c r="E38" s="218"/>
      <c r="F38" s="220"/>
      <c r="G38" s="219"/>
      <c r="H38" s="218"/>
      <c r="I38" s="220"/>
      <c r="J38" s="219"/>
      <c r="K38" s="220"/>
      <c r="L38" s="220"/>
      <c r="N38" s="219"/>
      <c r="O38" s="219"/>
      <c r="Q38" s="219"/>
      <c r="R38" s="219"/>
      <c r="S38" s="220"/>
      <c r="T38" s="220"/>
      <c r="U38" s="244"/>
      <c r="V38" s="241"/>
      <c r="W38" s="241"/>
      <c r="X38" s="234"/>
      <c r="Y38" s="273"/>
      <c r="AA38" s="234"/>
    </row>
    <row r="39" spans="1:27" s="221" customFormat="1" ht="23.25" customHeight="1" x14ac:dyDescent="0.2">
      <c r="A39" s="228"/>
      <c r="B39" s="229"/>
      <c r="C39" s="229"/>
      <c r="D39" s="222" t="s">
        <v>17</v>
      </c>
      <c r="E39" s="245">
        <f>IF(CONFIGURAR!$D$21=1,CONFIGURAR!AD63,IF(CONFIGURAR!$D$21=2,CONFIGURAR!AE63,IF(CONFIGURAR!$D$21=3,CONFIGURAR!AF63,IF(CONFIGURAR!$D$21=4,CONFIGURAR!AG63,IF(CONFIGURAR!$D$21=5,CONFIGURAR!AH63,IF(CONFIGURAR!$D$21=6,CONFIGURAR!AI63,""))))))</f>
        <v>0.4930555555555553</v>
      </c>
      <c r="F39" s="230"/>
      <c r="G39" s="216" t="str">
        <f>IF(E37="","Vencedor Jogo 23",IF(E37&gt;E41,D37,D41))</f>
        <v>Vencedor Jogo 23</v>
      </c>
      <c r="H39" s="217"/>
      <c r="I39" s="225"/>
      <c r="L39" s="224"/>
      <c r="N39" s="219"/>
      <c r="O39" s="219"/>
      <c r="Q39" s="219"/>
      <c r="R39" s="219"/>
      <c r="S39" s="220"/>
      <c r="T39" s="220"/>
      <c r="U39" s="244"/>
      <c r="V39" s="241"/>
      <c r="W39" s="241"/>
      <c r="X39" s="234"/>
      <c r="Y39" s="273"/>
      <c r="AA39" s="234"/>
    </row>
    <row r="40" spans="1:27" s="221" customFormat="1" ht="23.25" customHeight="1" x14ac:dyDescent="0.2">
      <c r="A40" s="216" t="str">
        <f>CONFIGURAR!AD22</f>
        <v>Q</v>
      </c>
      <c r="B40" s="217"/>
      <c r="C40" s="218"/>
      <c r="D40" s="269"/>
      <c r="E40" s="218"/>
      <c r="F40" s="220"/>
      <c r="G40" s="219"/>
      <c r="H40" s="218"/>
      <c r="I40" s="220"/>
      <c r="J40" s="219"/>
      <c r="K40" s="220"/>
      <c r="L40" s="220"/>
      <c r="M40" s="219"/>
      <c r="N40" s="219"/>
      <c r="O40" s="219"/>
      <c r="Q40" s="219"/>
      <c r="R40" s="219"/>
      <c r="S40" s="219"/>
      <c r="X40" s="234"/>
      <c r="Y40" s="273"/>
      <c r="AA40" s="234"/>
    </row>
    <row r="41" spans="1:27" s="221" customFormat="1" ht="23.25" customHeight="1" x14ac:dyDescent="0.2">
      <c r="A41" s="222" t="s">
        <v>6</v>
      </c>
      <c r="B41" s="223">
        <f>IF(CONFIGURAR!$D$21=1,CONFIGURAR!AD50,IF(CONFIGURAR!$D$21=2,CONFIGURAR!AE50,IF(CONFIGURAR!$D$21=3,CONFIGURAR!AF50,IF(CONFIGURAR!$D$21=4,CONFIGURAR!AG50,IF(CONFIGURAR!$D$21=5,CONFIGURAR!AH50,IF(CONFIGURAR!$D$21=6,CONFIGURAR!AI50,""))))))</f>
        <v>0.44791666666666657</v>
      </c>
      <c r="C41" s="224"/>
      <c r="D41" s="216" t="str">
        <f>IF(B40="","Vencedor Jogo 10",IF(B40&gt;B42,A40,A42))</f>
        <v>Vencedor Jogo 10</v>
      </c>
      <c r="E41" s="217"/>
      <c r="F41" s="218"/>
      <c r="G41" s="219"/>
      <c r="H41" s="218"/>
      <c r="I41" s="220"/>
      <c r="J41" s="237"/>
      <c r="K41" s="224"/>
      <c r="L41" s="220"/>
      <c r="M41" s="219"/>
      <c r="N41" s="219"/>
      <c r="O41" s="219"/>
      <c r="Q41" s="219"/>
      <c r="R41" s="219"/>
      <c r="S41" s="219"/>
      <c r="X41" s="234"/>
      <c r="Y41" s="273"/>
      <c r="AA41" s="234"/>
    </row>
    <row r="42" spans="1:27" s="221" customFormat="1" ht="23.25" customHeight="1" x14ac:dyDescent="0.2">
      <c r="A42" s="216" t="str">
        <f>CONFIGURAR!AD14</f>
        <v>I</v>
      </c>
      <c r="B42" s="217"/>
      <c r="C42" s="218"/>
      <c r="D42" s="269"/>
      <c r="E42" s="218"/>
      <c r="F42" s="220"/>
      <c r="G42" s="219"/>
      <c r="H42" s="218"/>
      <c r="J42" s="219"/>
      <c r="K42" s="220"/>
      <c r="L42" s="220"/>
      <c r="M42" s="219"/>
      <c r="N42" s="219"/>
      <c r="O42" s="219"/>
      <c r="Q42" s="231"/>
      <c r="R42" s="231"/>
      <c r="X42" s="234"/>
      <c r="Y42" s="273"/>
      <c r="AA42" s="234"/>
    </row>
    <row r="43" spans="1:27" s="221" customFormat="1" ht="23.25" customHeight="1" x14ac:dyDescent="0.2">
      <c r="A43" s="228"/>
      <c r="B43" s="229"/>
      <c r="C43" s="229"/>
      <c r="D43" s="271"/>
      <c r="E43" s="270"/>
      <c r="F43" s="224"/>
      <c r="G43" s="222" t="s">
        <v>44</v>
      </c>
      <c r="H43" s="245">
        <f>IF(CONFIGURAR!$D$21=1,CONFIGURAR!AD73,IF(CONFIGURAR!$D$21=2,CONFIGURAR!AE73,IF(CONFIGURAR!$D$21=3,CONFIGURAR!AF73,IF(CONFIGURAR!$D$21=4,CONFIGURAR!AG73,IF(CONFIGURAR!$D$21=5,CONFIGURAR!AH73,IF(CONFIGURAR!$D$21=6,CONFIGURAR!AI73,""))))))</f>
        <v>0.52777777777777746</v>
      </c>
      <c r="L43" s="230"/>
      <c r="M43" s="216" t="str">
        <f>IF(H39="","Vencedor Jogo 33",IF(H39&gt;H47,G39,G47))</f>
        <v>Vencedor Jogo 33</v>
      </c>
      <c r="N43" s="217"/>
      <c r="O43" s="219"/>
      <c r="Q43" s="219"/>
      <c r="R43" s="219"/>
      <c r="S43" s="220"/>
      <c r="T43" s="220"/>
      <c r="U43" s="244"/>
      <c r="V43" s="241"/>
      <c r="W43" s="241"/>
      <c r="X43" s="234"/>
      <c r="Y43" s="273"/>
      <c r="AA43" s="234"/>
    </row>
    <row r="44" spans="1:27" s="221" customFormat="1" ht="23.25" customHeight="1" x14ac:dyDescent="0.2">
      <c r="A44" s="216" t="str">
        <f>CONFIGURAR!AD26</f>
        <v>U</v>
      </c>
      <c r="B44" s="217"/>
      <c r="C44" s="218"/>
      <c r="D44" s="269"/>
      <c r="E44" s="218"/>
      <c r="F44" s="220"/>
      <c r="G44" s="219"/>
      <c r="H44" s="218"/>
      <c r="I44" s="220"/>
      <c r="J44" s="219"/>
      <c r="K44" s="220"/>
      <c r="L44" s="220"/>
      <c r="M44" s="219"/>
      <c r="N44" s="219"/>
      <c r="O44" s="219"/>
      <c r="Q44" s="219"/>
      <c r="R44" s="219"/>
      <c r="S44" s="220"/>
      <c r="T44" s="220"/>
      <c r="U44" s="244"/>
      <c r="V44" s="241"/>
      <c r="W44" s="241"/>
      <c r="X44" s="234"/>
      <c r="Y44" s="273"/>
      <c r="AA44" s="234"/>
    </row>
    <row r="45" spans="1:27" s="221" customFormat="1" ht="23.25" customHeight="1" x14ac:dyDescent="0.2">
      <c r="A45" s="222" t="s">
        <v>7</v>
      </c>
      <c r="B45" s="223">
        <f>IF(CONFIGURAR!$D$21=1,CONFIGURAR!AD51,IF(CONFIGURAR!$D$21=2,CONFIGURAR!AE51,IF(CONFIGURAR!$D$21=3,CONFIGURAR!AF51,IF(CONFIGURAR!$D$21=4,CONFIGURAR!AG51,IF(CONFIGURAR!$D$21=5,CONFIGURAR!AH51,IF(CONFIGURAR!$D$21=6,CONFIGURAR!AI51,""))))))</f>
        <v>0.45138888888888878</v>
      </c>
      <c r="C45" s="224"/>
      <c r="D45" s="216" t="str">
        <f>IF(B44="","Vencedor Jogo 11",IF(B44&gt;B46,A44,A46))</f>
        <v>Vencedor Jogo 11</v>
      </c>
      <c r="E45" s="217"/>
      <c r="F45" s="218"/>
      <c r="G45" s="219"/>
      <c r="H45" s="218"/>
      <c r="I45" s="220"/>
      <c r="J45" s="219"/>
      <c r="K45" s="220"/>
      <c r="L45" s="220"/>
      <c r="M45" s="219"/>
      <c r="N45" s="219"/>
      <c r="O45" s="219"/>
      <c r="Q45" s="219"/>
      <c r="R45" s="219"/>
      <c r="S45" s="220"/>
      <c r="T45" s="220"/>
      <c r="U45" s="244"/>
      <c r="V45" s="241"/>
      <c r="W45" s="241"/>
      <c r="X45" s="234"/>
      <c r="Y45" s="273"/>
      <c r="AA45" s="234"/>
    </row>
    <row r="46" spans="1:27" s="221" customFormat="1" ht="23.25" customHeight="1" x14ac:dyDescent="0.2">
      <c r="A46" s="216" t="str">
        <f>CONFIGURAR!AD10</f>
        <v>E</v>
      </c>
      <c r="B46" s="217"/>
      <c r="C46" s="218"/>
      <c r="D46" s="269"/>
      <c r="E46" s="218"/>
      <c r="F46" s="220"/>
      <c r="G46" s="237"/>
      <c r="H46" s="223"/>
      <c r="I46" s="220"/>
      <c r="J46" s="219"/>
      <c r="K46" s="220"/>
      <c r="L46" s="220"/>
      <c r="M46" s="219"/>
      <c r="N46" s="219"/>
      <c r="O46" s="219"/>
      <c r="Q46" s="219"/>
      <c r="R46" s="219"/>
      <c r="S46" s="220"/>
      <c r="T46" s="220"/>
      <c r="V46" s="241"/>
      <c r="W46" s="241"/>
      <c r="X46" s="234"/>
      <c r="Y46" s="273"/>
      <c r="AA46" s="234"/>
    </row>
    <row r="47" spans="1:27" s="221" customFormat="1" ht="23.25" customHeight="1" x14ac:dyDescent="0.2">
      <c r="A47" s="228"/>
      <c r="B47" s="229"/>
      <c r="C47" s="229"/>
      <c r="D47" s="222" t="s">
        <v>35</v>
      </c>
      <c r="E47" s="245">
        <f>IF(CONFIGURAR!$D$21=1,CONFIGURAR!AD64,IF(CONFIGURAR!$D$21=2,CONFIGURAR!AE64,IF(CONFIGURAR!$D$21=3,CONFIGURAR!AF64,IF(CONFIGURAR!$D$21=4,CONFIGURAR!AG64,IF(CONFIGURAR!$D$21=5,CONFIGURAR!AH64,IF(CONFIGURAR!$D$21=6,CONFIGURAR!AI64,""))))))</f>
        <v>0.49652777777777751</v>
      </c>
      <c r="F47" s="230"/>
      <c r="G47" s="216" t="str">
        <f>IF(E45="","Vencedor Jogo 24",IF(E45&gt;E49,D45,D49))</f>
        <v>Vencedor Jogo 24</v>
      </c>
      <c r="H47" s="217"/>
      <c r="I47" s="240"/>
      <c r="L47" s="218"/>
      <c r="O47" s="219"/>
      <c r="Q47" s="219"/>
      <c r="R47" s="219"/>
      <c r="S47" s="220"/>
      <c r="T47" s="220"/>
      <c r="U47" s="246" t="s">
        <v>31</v>
      </c>
      <c r="V47" s="218">
        <v>46</v>
      </c>
      <c r="W47" s="247">
        <v>47</v>
      </c>
      <c r="X47" s="234"/>
    </row>
    <row r="48" spans="1:27" s="221" customFormat="1" ht="23.25" customHeight="1" x14ac:dyDescent="0.2">
      <c r="A48" s="216" t="str">
        <f>CONFIGURAR!AD17</f>
        <v>L</v>
      </c>
      <c r="B48" s="217"/>
      <c r="C48" s="218"/>
      <c r="D48" s="269"/>
      <c r="E48" s="218"/>
      <c r="F48" s="220"/>
      <c r="G48" s="219"/>
      <c r="H48" s="220"/>
      <c r="I48" s="220"/>
      <c r="J48" s="219"/>
      <c r="K48" s="220"/>
      <c r="L48" s="220"/>
      <c r="M48" s="219"/>
      <c r="N48" s="219"/>
      <c r="O48" s="219"/>
      <c r="Q48" s="219"/>
      <c r="R48" s="219"/>
      <c r="S48" s="220"/>
      <c r="T48" s="220"/>
      <c r="U48" s="248" t="str">
        <f>IF(N18="","1º Finalista",IF(N18&gt;N43,M18,M43))</f>
        <v>1º Finalista</v>
      </c>
      <c r="V48" s="217"/>
      <c r="W48" s="249"/>
    </row>
    <row r="49" spans="1:27" s="221" customFormat="1" ht="23.25" customHeight="1" x14ac:dyDescent="0.2">
      <c r="A49" s="222" t="s">
        <v>8</v>
      </c>
      <c r="B49" s="223">
        <f>IF(CONFIGURAR!$D$21=1,CONFIGURAR!AD52,IF(CONFIGURAR!$D$21=2,CONFIGURAR!AE52,IF(CONFIGURAR!$D$21=3,CONFIGURAR!AF52,IF(CONFIGURAR!$D$21=4,CONFIGURAR!AG52,IF(CONFIGURAR!$D$21=5,CONFIGURAR!AH52,IF(CONFIGURAR!$D$21=6,CONFIGURAR!AI52,""))))))</f>
        <v>0.45486111111111099</v>
      </c>
      <c r="C49" s="224"/>
      <c r="D49" s="216" t="str">
        <f>IF(B48="","Vencedor Jogo 12",IF(B48&gt;B50,A48,A50))</f>
        <v>Vencedor Jogo 12</v>
      </c>
      <c r="E49" s="217"/>
      <c r="F49" s="218"/>
      <c r="G49" s="219"/>
      <c r="H49" s="220"/>
      <c r="I49" s="220"/>
      <c r="J49" s="219"/>
      <c r="K49" s="220"/>
      <c r="L49" s="220"/>
      <c r="M49" s="219"/>
      <c r="N49" s="219"/>
      <c r="O49" s="219"/>
      <c r="Q49" s="219"/>
      <c r="R49" s="219"/>
      <c r="S49" s="220"/>
      <c r="T49" s="220"/>
      <c r="U49" s="323" t="s">
        <v>30</v>
      </c>
      <c r="V49" s="324">
        <f>Q66+CONFIGURAR!$D$19+CONFIGURAR!$D$20</f>
        <v>0.57291666666666619</v>
      </c>
      <c r="W49" s="324"/>
      <c r="X49" s="234"/>
      <c r="Y49" s="273"/>
      <c r="AA49" s="234"/>
    </row>
    <row r="50" spans="1:27" s="221" customFormat="1" ht="23.25" customHeight="1" x14ac:dyDescent="0.2">
      <c r="A50" s="216" t="str">
        <f>CONFIGURAR!AD12</f>
        <v>G</v>
      </c>
      <c r="B50" s="217"/>
      <c r="C50" s="218"/>
      <c r="D50" s="219"/>
      <c r="E50" s="220"/>
      <c r="F50" s="220"/>
      <c r="G50" s="219"/>
      <c r="H50" s="220"/>
      <c r="I50" s="220"/>
      <c r="J50" s="219"/>
      <c r="K50" s="220"/>
      <c r="L50" s="220"/>
      <c r="M50" s="219"/>
      <c r="N50" s="219"/>
      <c r="O50" s="219"/>
      <c r="Q50" s="219"/>
      <c r="R50" s="219"/>
      <c r="S50" s="220"/>
      <c r="T50" s="220"/>
      <c r="U50" s="323"/>
      <c r="V50" s="324"/>
      <c r="W50" s="324"/>
      <c r="Y50" s="273"/>
      <c r="AA50" s="234"/>
    </row>
    <row r="51" spans="1:27" s="221" customFormat="1" ht="23.25" customHeight="1" x14ac:dyDescent="0.2">
      <c r="A51" s="242"/>
      <c r="B51" s="218"/>
      <c r="C51" s="218"/>
      <c r="D51" s="219"/>
      <c r="E51" s="220"/>
      <c r="F51" s="220"/>
      <c r="G51" s="219"/>
      <c r="H51" s="220"/>
      <c r="I51" s="220"/>
      <c r="J51" s="219"/>
      <c r="K51" s="220"/>
      <c r="L51" s="220"/>
      <c r="M51" s="219"/>
      <c r="N51" s="219"/>
      <c r="O51" s="219"/>
      <c r="Q51" s="219"/>
      <c r="R51" s="219"/>
      <c r="S51" s="220"/>
      <c r="T51" s="220"/>
      <c r="U51" s="251" t="str">
        <f>IF(Q61="","2º Finalista",IF(Q61&gt;Q72,P61,P72))</f>
        <v>2º Finalista</v>
      </c>
      <c r="V51" s="252"/>
      <c r="W51" s="253"/>
    </row>
    <row r="52" spans="1:27" s="221" customFormat="1" ht="23.25" customHeight="1" x14ac:dyDescent="0.2">
      <c r="A52" s="242"/>
      <c r="B52" s="218"/>
      <c r="C52" s="218"/>
      <c r="D52" s="254" t="str">
        <f>IF(E5="","Derrotado Jogo 19",(IF(E5&gt;E9,D9,D5)))</f>
        <v>Derrotado Jogo 19</v>
      </c>
      <c r="E52" s="252"/>
      <c r="F52" s="220"/>
      <c r="G52" s="219"/>
      <c r="H52" s="220"/>
      <c r="I52" s="220"/>
      <c r="J52" s="219"/>
      <c r="K52" s="220"/>
      <c r="L52" s="220"/>
      <c r="M52" s="219"/>
      <c r="N52" s="219"/>
      <c r="O52" s="219"/>
      <c r="P52" s="219"/>
      <c r="Q52" s="219"/>
      <c r="R52" s="219"/>
      <c r="S52" s="220"/>
      <c r="T52" s="220"/>
      <c r="U52" s="244"/>
      <c r="V52" s="241"/>
      <c r="W52" s="241"/>
      <c r="X52" s="234"/>
    </row>
    <row r="53" spans="1:27" s="221" customFormat="1" ht="23.25" customHeight="1" x14ac:dyDescent="0.2">
      <c r="A53" s="254" t="str">
        <f>IF(B4="","Derrotado do jogo 1",(IF(B4&gt;B6,A6,A4)))</f>
        <v>Derrotado do jogo 1</v>
      </c>
      <c r="B53" s="252"/>
      <c r="C53" s="247"/>
      <c r="D53" s="222" t="s">
        <v>36</v>
      </c>
      <c r="E53" s="223">
        <f>IF(CONFIGURAR!$D$21=1,CONFIGURAR!AD65,IF(CONFIGURAR!$D$21=2,CONFIGURAR!AE65,IF(CONFIGURAR!$D$21=3,CONFIGURAR!AF65,IF(CONFIGURAR!$D$21=4,CONFIGURAR!AG65,IF(CONFIGURAR!$D$21=5,CONFIGURAR!AH65,IF(CONFIGURAR!$D$21=6,CONFIGURAR!AI65,""))))))</f>
        <v>0.49999999999999972</v>
      </c>
      <c r="F53" s="220"/>
      <c r="I53" s="220"/>
      <c r="J53" s="254" t="str">
        <f>IF(E52="","Vencedor Jogo 25",IF(E52&gt;E54,D52,D54))</f>
        <v>Vencedor Jogo 25</v>
      </c>
      <c r="K53" s="252"/>
      <c r="L53" s="220"/>
      <c r="M53" s="219"/>
      <c r="N53" s="219"/>
      <c r="O53" s="219"/>
      <c r="P53" s="219"/>
      <c r="Q53" s="219"/>
      <c r="R53" s="219"/>
      <c r="S53" s="220"/>
      <c r="T53" s="220"/>
      <c r="U53" s="244"/>
      <c r="V53" s="241"/>
      <c r="W53" s="241"/>
      <c r="X53" s="234"/>
      <c r="Y53" s="273"/>
      <c r="AA53" s="234"/>
    </row>
    <row r="54" spans="1:27" s="221" customFormat="1" ht="23.25" customHeight="1" x14ac:dyDescent="0.2">
      <c r="A54" s="222" t="s">
        <v>10</v>
      </c>
      <c r="B54" s="223">
        <f>IF(CONFIGURAR!$D$21=1,CONFIGURAR!AD53,IF(CONFIGURAR!$D$21=2,CONFIGURAR!AE53,IF(CONFIGURAR!$D$21=3,CONFIGURAR!AF53,IF(CONFIGURAR!$D$21=4,CONFIGURAR!AG53,IF(CONFIGURAR!$D$21=5,CONFIGURAR!AH53,IF(CONFIGURAR!$D$21=6,CONFIGURAR!AI53,""))))))</f>
        <v>0.4583333333333332</v>
      </c>
      <c r="C54" s="255"/>
      <c r="D54" s="254" t="str">
        <f>IF(B53="","Vencedor Jogo 13",IF(B53&gt;B55,A53,A55))</f>
        <v>Vencedor Jogo 13</v>
      </c>
      <c r="E54" s="252"/>
      <c r="F54" s="220"/>
      <c r="G54" s="219"/>
      <c r="H54" s="220"/>
      <c r="I54" s="220"/>
      <c r="L54" s="220"/>
      <c r="O54" s="219"/>
      <c r="P54" s="219"/>
      <c r="Q54" s="219"/>
      <c r="R54" s="219"/>
      <c r="S54" s="220"/>
      <c r="T54" s="220"/>
      <c r="U54" s="244"/>
      <c r="V54" s="241"/>
      <c r="W54" s="241"/>
      <c r="X54" s="234"/>
      <c r="Y54" s="273"/>
      <c r="AA54" s="234"/>
    </row>
    <row r="55" spans="1:27" s="221" customFormat="1" ht="23.25" customHeight="1" x14ac:dyDescent="0.2">
      <c r="A55" s="254" t="str">
        <f>IF(B8="","Derrotado do jogo 2",IF(B8&gt;B10,A10,A8))</f>
        <v>Derrotado do jogo 2</v>
      </c>
      <c r="B55" s="252"/>
      <c r="C55" s="247"/>
      <c r="D55" s="219"/>
      <c r="E55" s="220"/>
      <c r="F55" s="220"/>
      <c r="G55" s="219"/>
      <c r="H55" s="220"/>
      <c r="I55" s="220"/>
      <c r="L55" s="220"/>
      <c r="O55" s="219"/>
      <c r="P55" s="219"/>
      <c r="Q55" s="219"/>
      <c r="R55" s="219"/>
      <c r="S55" s="220"/>
      <c r="T55" s="220"/>
      <c r="U55" s="244"/>
      <c r="V55" s="241"/>
      <c r="W55" s="241"/>
      <c r="X55" s="234"/>
      <c r="Y55" s="273"/>
      <c r="Z55" s="245"/>
      <c r="AA55" s="234"/>
    </row>
    <row r="56" spans="1:27" s="221" customFormat="1" ht="23.25" customHeight="1" x14ac:dyDescent="0.2">
      <c r="A56" s="228"/>
      <c r="B56" s="229"/>
      <c r="C56" s="229"/>
      <c r="D56" s="254" t="str">
        <f>IF(E13="","Derrotado Jogo 20",IF(E13&gt;E17,D17,D13))</f>
        <v>Derrotado Jogo 20</v>
      </c>
      <c r="E56" s="252"/>
      <c r="F56" s="220"/>
      <c r="G56" s="219"/>
      <c r="H56" s="220"/>
      <c r="I56" s="220"/>
      <c r="J56" s="222" t="s">
        <v>50</v>
      </c>
      <c r="K56" s="245">
        <f>IF(CONFIGURAR!$D$21=1,CONFIGURAR!AD79,IF(CONFIGURAR!$D$21=2,CONFIGURAR!AE79,IF(CONFIGURAR!$D$21=3,CONFIGURAR!AF79,IF(CONFIGURAR!$D$21=4,CONFIGURAR!AG79,IF(CONFIGURAR!$D$21=5,CONFIGURAR!AH79,IF(CONFIGURAR!$D$21=6,CONFIGURAR!AI79,""))))))</f>
        <v>0.54861111111111072</v>
      </c>
      <c r="L56" s="220"/>
      <c r="M56" s="254" t="str">
        <f>IF(K53="","Vencedor Jogo 39",IF(K53&gt;K59,J53,J59))</f>
        <v>Vencedor Jogo 39</v>
      </c>
      <c r="N56" s="252"/>
      <c r="O56" s="219"/>
      <c r="P56" s="219"/>
      <c r="Q56" s="219"/>
      <c r="R56" s="219"/>
      <c r="S56" s="220"/>
      <c r="T56" s="220"/>
      <c r="U56" s="244"/>
      <c r="V56" s="241"/>
      <c r="W56" s="241"/>
      <c r="X56" s="234"/>
      <c r="Y56" s="273"/>
      <c r="Z56" s="245"/>
      <c r="AA56" s="234"/>
    </row>
    <row r="57" spans="1:27" s="221" customFormat="1" ht="23.25" customHeight="1" x14ac:dyDescent="0.2">
      <c r="A57" s="254" t="str">
        <f>IF(B12="","Derrotado do jogo 3",IF(B12&gt;B14,A14,A12))</f>
        <v>Derrotado do jogo 3</v>
      </c>
      <c r="B57" s="252"/>
      <c r="C57" s="247"/>
      <c r="D57" s="222" t="s">
        <v>37</v>
      </c>
      <c r="E57" s="223">
        <f>IF(CONFIGURAR!$D$21=1,CONFIGURAR!AD66,IF(CONFIGURAR!$D$21=2,CONFIGURAR!AE66,IF(CONFIGURAR!$D$21=3,CONFIGURAR!AF66,IF(CONFIGURAR!$D$21=4,CONFIGURAR!AG66,IF(CONFIGURAR!$D$21=5,CONFIGURAR!AH66,IF(CONFIGURAR!$D$21=6,CONFIGURAR!AI66,""))))))</f>
        <v>0.50347222222222199</v>
      </c>
      <c r="F57" s="220"/>
      <c r="G57" s="254" t="str">
        <f>IF(E56="","Vencedor Jogo 26",IF(E56&gt;E58,D56,D58))</f>
        <v>Vencedor Jogo 26</v>
      </c>
      <c r="H57" s="252"/>
      <c r="I57" s="220"/>
      <c r="J57" s="219"/>
      <c r="L57" s="220"/>
      <c r="M57" s="219"/>
      <c r="N57" s="219"/>
      <c r="O57" s="219"/>
      <c r="S57" s="220"/>
      <c r="X57" s="234"/>
      <c r="Y57" s="273"/>
      <c r="Z57" s="245"/>
      <c r="AA57" s="234"/>
    </row>
    <row r="58" spans="1:27" s="221" customFormat="1" ht="23.25" customHeight="1" x14ac:dyDescent="0.2">
      <c r="A58" s="222" t="s">
        <v>29</v>
      </c>
      <c r="B58" s="223">
        <f>IF(CONFIGURAR!$D$21=1,CONFIGURAR!AD54,IF(CONFIGURAR!$D$21=2,CONFIGURAR!AE54,IF(CONFIGURAR!$D$21=3,CONFIGURAR!AF54,IF(CONFIGURAR!$D$21=4,CONFIGURAR!AG54,IF(CONFIGURAR!$D$21=5,CONFIGURAR!AH54,IF(CONFIGURAR!$D$21=6,CONFIGURAR!AI54,""))))))</f>
        <v>0.46180555555555541</v>
      </c>
      <c r="C58" s="255"/>
      <c r="D58" s="254" t="str">
        <f>IF(B57="","Vencedor Jogo 14",IF(B57&gt;B59,A57,A59))</f>
        <v>Vencedor Jogo 14</v>
      </c>
      <c r="E58" s="252"/>
      <c r="F58" s="220"/>
      <c r="G58" s="219"/>
      <c r="H58" s="247"/>
      <c r="I58" s="220"/>
      <c r="J58" s="219"/>
      <c r="K58" s="247"/>
      <c r="L58" s="220"/>
      <c r="M58" s="219"/>
      <c r="N58" s="219"/>
      <c r="O58" s="219"/>
      <c r="P58" s="219"/>
      <c r="Q58" s="219"/>
      <c r="R58" s="219"/>
      <c r="S58" s="220"/>
      <c r="X58" s="234"/>
      <c r="Y58" s="273"/>
      <c r="Z58" s="245"/>
      <c r="AA58" s="234"/>
    </row>
    <row r="59" spans="1:27" s="221" customFormat="1" ht="23.25" customHeight="1" x14ac:dyDescent="0.2">
      <c r="A59" s="254" t="str">
        <f>IF(B16="","Derrotado do jogo 4",IF(B16&gt;B18,A18,A16))</f>
        <v>Derrotado do jogo 4</v>
      </c>
      <c r="B59" s="252"/>
      <c r="C59" s="247"/>
      <c r="D59" s="219"/>
      <c r="E59" s="220"/>
      <c r="F59" s="220"/>
      <c r="G59" s="222" t="s">
        <v>45</v>
      </c>
      <c r="H59" s="245">
        <f>IF(CONFIGURAR!$D$21=1,CONFIGURAR!AD74,IF(CONFIGURAR!$D$21=2,CONFIGURAR!AE74,IF(CONFIGURAR!$D$21=3,CONFIGURAR!AF74,IF(CONFIGURAR!$D$21=4,CONFIGURAR!AG74,IF(CONFIGURAR!$D$21=5,CONFIGURAR!AH74,IF(CONFIGURAR!$D$21=6,CONFIGURAR!AI74,""))))))</f>
        <v>0.53124999999999967</v>
      </c>
      <c r="I59" s="220"/>
      <c r="J59" s="254" t="str">
        <f>IF(H57="","Vencedor Jogo 34",IF(H57&gt;H61,G57,G61))</f>
        <v>Vencedor Jogo 34</v>
      </c>
      <c r="K59" s="252"/>
      <c r="L59" s="220"/>
      <c r="O59" s="219"/>
      <c r="S59" s="220"/>
      <c r="T59" s="220"/>
      <c r="U59" s="244"/>
      <c r="V59" s="241"/>
      <c r="W59" s="241"/>
      <c r="X59" s="234"/>
      <c r="Y59" s="273"/>
      <c r="Z59" s="245"/>
      <c r="AA59" s="234"/>
    </row>
    <row r="60" spans="1:27" s="221" customFormat="1" ht="23.25" customHeight="1" x14ac:dyDescent="0.2">
      <c r="A60" s="228"/>
      <c r="B60" s="229"/>
      <c r="C60" s="229"/>
      <c r="D60" s="254" t="str">
        <f>IF(E21="","Derrotado Jogo 21",IF(E21&gt;E25,D25,D21))</f>
        <v>Derrotado Jogo 21</v>
      </c>
      <c r="E60" s="252"/>
      <c r="F60" s="220"/>
      <c r="G60" s="219"/>
      <c r="H60" s="247"/>
      <c r="I60" s="220"/>
      <c r="J60" s="219"/>
      <c r="K60" s="247"/>
      <c r="L60" s="220"/>
      <c r="M60" s="219"/>
      <c r="N60" s="219"/>
      <c r="O60" s="219"/>
      <c r="P60" s="219"/>
      <c r="Q60" s="219"/>
      <c r="R60" s="219"/>
      <c r="S60" s="220"/>
      <c r="T60" s="220"/>
      <c r="U60" s="244"/>
      <c r="V60" s="241"/>
      <c r="W60" s="241"/>
      <c r="X60" s="234"/>
      <c r="Y60" s="273"/>
      <c r="Z60" s="245"/>
      <c r="AA60" s="234"/>
    </row>
    <row r="61" spans="1:27" s="221" customFormat="1" ht="23.25" customHeight="1" x14ac:dyDescent="0.2">
      <c r="A61" s="254" t="str">
        <f>IF(B20="","Derrotado do jogo 5",IF(B20&gt;B22,A22,A20))</f>
        <v>Derrotado do jogo 5</v>
      </c>
      <c r="B61" s="252"/>
      <c r="C61" s="247"/>
      <c r="D61" s="222" t="s">
        <v>38</v>
      </c>
      <c r="E61" s="223">
        <f>IF(CONFIGURAR!$D$21=1,CONFIGURAR!AD67,IF(CONFIGURAR!$D$21=2,CONFIGURAR!AE67,IF(CONFIGURAR!$D$21=3,CONFIGURAR!AF67,IF(CONFIGURAR!$D$21=4,CONFIGURAR!AG67,IF(CONFIGURAR!$D$21=5,CONFIGURAR!AH67,IF(CONFIGURAR!$D$21=6,CONFIGURAR!AI67,""))))))</f>
        <v>0.5069444444444442</v>
      </c>
      <c r="F61" s="220"/>
      <c r="G61" s="254" t="str">
        <f>IF(E60="","Vencedor Jogo 27",IF(E60&gt;E62,D60,D62))</f>
        <v>Vencedor Jogo 27</v>
      </c>
      <c r="H61" s="252"/>
      <c r="I61" s="220"/>
      <c r="L61" s="220"/>
      <c r="M61" s="222" t="s">
        <v>54</v>
      </c>
      <c r="N61" s="245">
        <f>IF(CONFIGURAR!$D$21=1,CONFIGURAR!AD83,IF(CONFIGURAR!$D$21=2,CONFIGURAR!AE83,IF(CONFIGURAR!$D$21=3,CONFIGURAR!AF83,IF(CONFIGURAR!$D$21=4,CONFIGURAR!AG83,IF(CONFIGURAR!$D$21=5,CONFIGURAR!AH83+CONFIGURAR!$D$19+CONFIGURAR!$D$20,IF(CONFIGURAR!$D$21=6,CONFIGURAR!AI83+CONFIGURAR!$D$19+CONFIGURAR!$D$20,""))))))</f>
        <v>0.56249999999999956</v>
      </c>
      <c r="O61" s="219"/>
      <c r="P61" s="254" t="str">
        <f>IF(N56="","Vencedor Jogo 43",IF(N56&gt;N66,M56,M66))</f>
        <v>Vencedor Jogo 43</v>
      </c>
      <c r="Q61" s="252"/>
      <c r="R61" s="219"/>
      <c r="S61" s="220"/>
      <c r="T61" s="220"/>
      <c r="U61" s="244"/>
      <c r="V61" s="241"/>
      <c r="W61" s="241"/>
      <c r="X61" s="234"/>
      <c r="Y61" s="273"/>
      <c r="Z61" s="245"/>
      <c r="AA61" s="234"/>
    </row>
    <row r="62" spans="1:27" s="221" customFormat="1" ht="23.25" customHeight="1" x14ac:dyDescent="0.2">
      <c r="A62" s="222" t="s">
        <v>11</v>
      </c>
      <c r="B62" s="223">
        <f>IF(CONFIGURAR!$D$21=1,CONFIGURAR!AD55,IF(CONFIGURAR!$D$21=2,CONFIGURAR!AE55,IF(CONFIGURAR!$D$21=3,CONFIGURAR!AF55,IF(CONFIGURAR!$D$21=4,CONFIGURAR!AG55,IF(CONFIGURAR!$D$21=5,CONFIGURAR!AH55,IF(CONFIGURAR!$D$21=6,CONFIGURAR!AI55,""))))))</f>
        <v>0.46527777777777762</v>
      </c>
      <c r="C62" s="255"/>
      <c r="D62" s="254" t="str">
        <f>IF(B61="","Vencedor Jogo 15",IF(B61&gt;B63,A61,A63))</f>
        <v>Vencedor Jogo 15</v>
      </c>
      <c r="E62" s="252"/>
      <c r="F62" s="220"/>
      <c r="G62" s="219"/>
      <c r="H62" s="247"/>
      <c r="I62" s="220"/>
      <c r="J62" s="219"/>
      <c r="K62" s="247"/>
      <c r="L62" s="220"/>
      <c r="M62" s="219"/>
      <c r="N62" s="219"/>
      <c r="O62" s="219"/>
      <c r="R62" s="219"/>
      <c r="S62" s="220"/>
      <c r="T62" s="220"/>
      <c r="U62" s="244"/>
      <c r="V62" s="241"/>
      <c r="W62" s="241"/>
      <c r="X62" s="234"/>
      <c r="Y62" s="273"/>
      <c r="Z62" s="245"/>
      <c r="AA62" s="234"/>
    </row>
    <row r="63" spans="1:27" s="221" customFormat="1" ht="23.25" customHeight="1" x14ac:dyDescent="0.2">
      <c r="A63" s="254" t="str">
        <f>IF(B24="","Derrotado do jogo 6",IF(B24&gt;B26,A26,A24))</f>
        <v>Derrotado do jogo 6</v>
      </c>
      <c r="B63" s="252"/>
      <c r="C63" s="247"/>
      <c r="F63" s="224"/>
      <c r="G63" s="254" t="str">
        <f>IF(H7="","Derrotado Jogo 31",IF(H7&gt;H15,G15,G7))</f>
        <v>Derrotado Jogo 31</v>
      </c>
      <c r="H63" s="252"/>
      <c r="I63" s="218"/>
      <c r="J63" s="256"/>
      <c r="K63" s="277"/>
      <c r="L63" s="256"/>
      <c r="U63" s="244"/>
      <c r="V63" s="241"/>
      <c r="W63" s="241"/>
      <c r="X63" s="234"/>
      <c r="Y63" s="273"/>
      <c r="Z63" s="245"/>
      <c r="AA63" s="234"/>
    </row>
    <row r="64" spans="1:27" s="221" customFormat="1" ht="23.25" customHeight="1" x14ac:dyDescent="0.2">
      <c r="A64" s="228"/>
      <c r="B64" s="229"/>
      <c r="C64" s="229"/>
      <c r="D64" s="254" t="str">
        <f>IF(E29="","Derrotado Jogo 22",IF(E29&gt;E33,D33,D29))</f>
        <v>Derrotado Jogo 22</v>
      </c>
      <c r="E64" s="252"/>
      <c r="F64" s="255"/>
      <c r="G64" s="222" t="s">
        <v>46</v>
      </c>
      <c r="H64" s="223">
        <f>IF(CONFIGURAR!$D$21=1,CONFIGURAR!AD75,IF(CONFIGURAR!$D$21=2,CONFIGURAR!AE75,IF(CONFIGURAR!$D$21=3,CONFIGURAR!AF75,IF(CONFIGURAR!$D$21=4,CONFIGURAR!AG75,IF(CONFIGURAR!$D$21=5,CONFIGURAR!AH75+CONFIGURAR!$D$19+CONFIGURAR!$D$20,IF(CONFIGURAR!$D$21=6,CONFIGURAR!AI75+CONFIGURAR!$D$19+CONFIGURAR!$D$20,""))))))</f>
        <v>0.53472222222222188</v>
      </c>
      <c r="I64" s="225"/>
      <c r="J64" s="254" t="str">
        <f>IF(H63="","Vencedor Jogo 35",IF(H63&gt;H65,G63,G65))</f>
        <v>Vencedor Jogo 35</v>
      </c>
      <c r="K64" s="252"/>
      <c r="L64" s="247"/>
      <c r="O64" s="219"/>
      <c r="P64" s="219"/>
      <c r="Q64" s="219"/>
      <c r="R64" s="219"/>
      <c r="S64" s="220"/>
      <c r="T64" s="220"/>
      <c r="V64" s="278"/>
      <c r="X64" s="234"/>
      <c r="Y64" s="273"/>
      <c r="Z64" s="245"/>
    </row>
    <row r="65" spans="1:26" s="221" customFormat="1" ht="23.25" customHeight="1" x14ac:dyDescent="0.2">
      <c r="A65" s="254" t="str">
        <f>IF(B28="","Derrotado do jogo 7",(IF(B28&gt;B30,A30,A28)))</f>
        <v>Derrotado do jogo 7</v>
      </c>
      <c r="B65" s="252"/>
      <c r="C65" s="247"/>
      <c r="D65" s="222" t="s">
        <v>39</v>
      </c>
      <c r="E65" s="223">
        <f>IF(CONFIGURAR!$D$21=1,CONFIGURAR!AD68,IF(CONFIGURAR!$D$21=2,CONFIGURAR!AE68,IF(CONFIGURAR!$D$21=3,CONFIGURAR!AF68,IF(CONFIGURAR!$D$21=4,CONFIGURAR!AG68,IF(CONFIGURAR!$D$21=5,CONFIGURAR!AH68,IF(CONFIGURAR!$D$21=6,CONFIGURAR!AI68,""))))))</f>
        <v>0.51041666666666641</v>
      </c>
      <c r="F65" s="257"/>
      <c r="G65" s="254" t="str">
        <f>IF(E64="","Vencedor Jogo 28",IF(E64&gt;E66,D64,D66))</f>
        <v>Vencedor Jogo 28</v>
      </c>
      <c r="H65" s="252"/>
      <c r="I65" s="220"/>
      <c r="J65" s="239"/>
      <c r="K65" s="247"/>
      <c r="L65" s="230"/>
      <c r="M65" s="260"/>
      <c r="N65" s="260"/>
      <c r="O65" s="260"/>
      <c r="P65" s="260"/>
      <c r="Q65" s="260"/>
      <c r="R65" s="260"/>
      <c r="S65" s="225"/>
      <c r="T65" s="225"/>
      <c r="X65" s="234"/>
      <c r="Y65" s="273"/>
      <c r="Z65" s="245"/>
    </row>
    <row r="66" spans="1:26" s="221" customFormat="1" ht="23.25" customHeight="1" x14ac:dyDescent="0.2">
      <c r="A66" s="222" t="s">
        <v>12</v>
      </c>
      <c r="B66" s="223">
        <f>IF(CONFIGURAR!$D$21=1,CONFIGURAR!AD56,IF(CONFIGURAR!$D$21=2,CONFIGURAR!AE56,IF(CONFIGURAR!$D$21=3,CONFIGURAR!AF56,IF(CONFIGURAR!$D$21=4,CONFIGURAR!AG56,IF(CONFIGURAR!$D$21=5,CONFIGURAR!AH56,IF(CONFIGURAR!$D$21=6,CONFIGURAR!AI56,""))))))</f>
        <v>0.46874999999999983</v>
      </c>
      <c r="C66" s="255"/>
      <c r="D66" s="254" t="str">
        <f>IF(B65="","Vencedor Jogo 16",IF(B65&gt;B67,A65,A67))</f>
        <v>Vencedor Jogo 16</v>
      </c>
      <c r="E66" s="252"/>
      <c r="F66" s="247"/>
      <c r="G66" s="219"/>
      <c r="H66" s="247"/>
      <c r="I66" s="220"/>
      <c r="J66" s="222" t="s">
        <v>51</v>
      </c>
      <c r="K66" s="245">
        <f>IF(CONFIGURAR!$D$21=1,CONFIGURAR!AD80,IF(CONFIGURAR!$D$21=2,CONFIGURAR!AE80,IF(CONFIGURAR!$D$21=3,CONFIGURAR!AF80,IF(CONFIGURAR!$D$21=4,CONFIGURAR!AG80,IF(CONFIGURAR!$D$21=5,CONFIGURAR!AH80+CONFIGURAR!$D$19+CONFIGURAR!$D$20,IF(CONFIGURAR!$D$21=6,CONFIGURAR!AI80+CONFIGURAR!$D$19+CONFIGURAR!$D$20,""))))))</f>
        <v>0.55208333333333293</v>
      </c>
      <c r="L66" s="220"/>
      <c r="M66" s="254" t="str">
        <f>IF(K64="","Vencedor Jogo 40",IF(K64&gt;K68,J64,J68))</f>
        <v>Vencedor Jogo 40</v>
      </c>
      <c r="N66" s="252"/>
      <c r="O66" s="220"/>
      <c r="P66" s="222" t="s">
        <v>56</v>
      </c>
      <c r="Q66" s="245">
        <f>IF(CONFIGURAR!$D$21=1,CONFIGURAR!AD85,IF(CONFIGURAR!$D$21=2,CONFIGURAR!AE85,IF(CONFIGURAR!$D$21=3,CONFIGURAR!AF85+CONFIGURAR!$D$19+CONFIGURAR!$D$20,IF(CONFIGURAR!$D$21=4,CONFIGURAR!$AG$85+CONFIGURAR!$D$19+CONFIGURAR!D20,IF(CONFIGURAR!$D$21=5,N72+CONFIGURAR!$D$19+CONFIGURAR!$D$20,IF(CONFIGURAR!$D$21=6,N72+CONFIGURAR!$D$19+CONFIGURAR!$D$20,""))))))</f>
        <v>0.56944444444444398</v>
      </c>
      <c r="R66" s="220"/>
      <c r="S66" s="220"/>
      <c r="X66" s="234"/>
      <c r="Y66" s="273"/>
      <c r="Z66" s="245"/>
    </row>
    <row r="67" spans="1:26" s="221" customFormat="1" ht="23.25" customHeight="1" x14ac:dyDescent="0.2">
      <c r="A67" s="254" t="str">
        <f>IF(B32="","Derrotado do jogo 8",IF(B32&gt;B34,A34,A32))</f>
        <v>Derrotado do jogo 8</v>
      </c>
      <c r="B67" s="252"/>
      <c r="C67" s="247"/>
      <c r="D67" s="219"/>
      <c r="E67" s="220"/>
      <c r="F67" s="220"/>
      <c r="G67" s="254" t="str">
        <f>IF(H23="","Derrotado Jogo 32",IF(H23&gt;H31,G31,G23))</f>
        <v>Derrotado Jogo 32</v>
      </c>
      <c r="H67" s="252"/>
      <c r="I67" s="220"/>
      <c r="K67" s="279"/>
      <c r="L67" s="220"/>
      <c r="M67" s="233"/>
      <c r="N67" s="233"/>
      <c r="O67" s="233"/>
      <c r="R67" s="233"/>
      <c r="S67" s="220"/>
      <c r="X67" s="234"/>
      <c r="Y67" s="273"/>
      <c r="Z67" s="245"/>
    </row>
    <row r="68" spans="1:26" s="221" customFormat="1" ht="23.25" customHeight="1" x14ac:dyDescent="0.2">
      <c r="A68" s="228"/>
      <c r="B68" s="229"/>
      <c r="C68" s="229"/>
      <c r="D68" s="254" t="str">
        <f>IF(E37="","Derrotado Jogo 23",IF(E37&gt;E41,D41,D37))</f>
        <v>Derrotado Jogo 23</v>
      </c>
      <c r="E68" s="252"/>
      <c r="F68" s="220"/>
      <c r="G68" s="222" t="s">
        <v>47</v>
      </c>
      <c r="H68" s="223">
        <f>IF(CONFIGURAR!$D$21=1,CONFIGURAR!AD76,IF(CONFIGURAR!$D$21=2,CONFIGURAR!AE76,IF(CONFIGURAR!$D$21=3,CONFIGURAR!AF76,IF(CONFIGURAR!$D$21=4,CONFIGURAR!AG76,IF(CONFIGURAR!$D$21=5,CONFIGURAR!AH76,IF(CONFIGURAR!$D$21=6,CONFIGURAR!AI76+CONFIGURAR!$D$19+CONFIGURAR!$D$20,""))))))</f>
        <v>0.53819444444444409</v>
      </c>
      <c r="I68" s="230"/>
      <c r="J68" s="254" t="str">
        <f>IF(H67="","Vencedor Jogo 36",IF(H67&gt;H69,G67,G69))</f>
        <v>Vencedor Jogo 36</v>
      </c>
      <c r="K68" s="252"/>
      <c r="L68" s="258"/>
      <c r="O68" s="259"/>
      <c r="R68" s="259"/>
      <c r="X68" s="234"/>
      <c r="Y68" s="273"/>
      <c r="Z68" s="245"/>
    </row>
    <row r="69" spans="1:26" s="221" customFormat="1" ht="23.25" customHeight="1" x14ac:dyDescent="0.2">
      <c r="A69" s="254" t="str">
        <f>IF(B36="","Derrotado do jogo 9",IF(B36&gt;B38,A38,A36))</f>
        <v>Derrotado do jogo 9</v>
      </c>
      <c r="B69" s="252"/>
      <c r="C69" s="247"/>
      <c r="D69" s="222" t="s">
        <v>40</v>
      </c>
      <c r="E69" s="223">
        <f>IF(CONFIGURAR!$D$21=1,CONFIGURAR!AD69,IF(CONFIGURAR!$D$21=2,CONFIGURAR!AE69,IF(CONFIGURAR!$D$21=3,CONFIGURAR!AF69,IF(CONFIGURAR!$D$21=4,CONFIGURAR!AG69,IF(CONFIGURAR!$D$21=5,CONFIGURAR!AH69,IF(CONFIGURAR!$D$21=6,CONFIGURAR!AI69,""))))))</f>
        <v>0.51388888888888862</v>
      </c>
      <c r="F69" s="220"/>
      <c r="G69" s="254" t="str">
        <f>IF(E68="","Vencedor Jogo 29",IF(E68&gt;E70,D68,D70))</f>
        <v>Vencedor Jogo 29</v>
      </c>
      <c r="H69" s="252"/>
      <c r="I69" s="262"/>
      <c r="K69" s="279"/>
      <c r="L69" s="258"/>
      <c r="X69" s="234"/>
      <c r="Y69" s="273"/>
      <c r="Z69" s="245"/>
    </row>
    <row r="70" spans="1:26" s="221" customFormat="1" ht="23.25" customHeight="1" x14ac:dyDescent="0.2">
      <c r="A70" s="222" t="s">
        <v>33</v>
      </c>
      <c r="B70" s="223">
        <f>IF(CONFIGURAR!$D$21=1,CONFIGURAR!AD57,IF(CONFIGURAR!$D$21=2,CONFIGURAR!AE57,IF(CONFIGURAR!$D$21=3,CONFIGURAR!AF57,IF(CONFIGURAR!$D$21=4,CONFIGURAR!AG57,IF(CONFIGURAR!$D$21=5,CONFIGURAR!AH57,IF(CONFIGURAR!$D$21=6,CONFIGURAR!AI57,""))))))</f>
        <v>0.47222222222222204</v>
      </c>
      <c r="C70" s="255"/>
      <c r="D70" s="254" t="str">
        <f>IF(B69="","Vencedor Jogo 17",IF(B69&gt;B71,A69,A71))</f>
        <v>Vencedor Jogo 17</v>
      </c>
      <c r="E70" s="252"/>
      <c r="F70" s="247"/>
      <c r="G70" s="262"/>
      <c r="H70" s="277"/>
      <c r="I70" s="262"/>
      <c r="L70" s="219"/>
      <c r="O70" s="237"/>
      <c r="R70" s="237"/>
      <c r="S70" s="280"/>
      <c r="X70" s="234"/>
      <c r="Y70" s="273"/>
      <c r="Z70" s="245"/>
    </row>
    <row r="71" spans="1:26" s="221" customFormat="1" ht="23.25" customHeight="1" x14ac:dyDescent="0.2">
      <c r="A71" s="254" t="str">
        <f>IF(B40="","Derrotado do jogo 10",IF(B40&gt;B42,A42,A40))</f>
        <v>Derrotado do jogo 10</v>
      </c>
      <c r="B71" s="252"/>
      <c r="C71" s="247"/>
      <c r="D71" s="219"/>
      <c r="E71" s="220"/>
      <c r="F71" s="220"/>
      <c r="G71" s="254" t="str">
        <f>IF(H39="","Derrotado Jogo 33",IF(H39&gt;H47,G47,G39))</f>
        <v>Derrotado Jogo 33</v>
      </c>
      <c r="H71" s="252"/>
      <c r="I71" s="220"/>
      <c r="J71" s="219"/>
      <c r="K71" s="247"/>
      <c r="L71" s="220"/>
      <c r="M71" s="254" t="str">
        <f>IF(N18="","Derrotado Jogo 42",IF(N18&gt;N43,M43,M18))</f>
        <v>Derrotado Jogo 42</v>
      </c>
      <c r="N71" s="252"/>
      <c r="O71" s="261"/>
      <c r="P71" s="261"/>
      <c r="Q71" s="261"/>
      <c r="R71" s="261"/>
      <c r="S71" s="220"/>
      <c r="T71" s="220"/>
      <c r="U71" s="219"/>
      <c r="V71" s="219"/>
      <c r="W71" s="220"/>
      <c r="X71" s="234"/>
      <c r="Y71" s="273"/>
      <c r="Z71" s="245"/>
    </row>
    <row r="72" spans="1:26" s="221" customFormat="1" ht="23.25" customHeight="1" x14ac:dyDescent="0.2">
      <c r="A72" s="228"/>
      <c r="B72" s="229"/>
      <c r="C72" s="229"/>
      <c r="D72" s="254" t="str">
        <f>IF(E45="","Derrotado Jogo 24",IF(E45&gt;E49,D49,D45))</f>
        <v>Derrotado Jogo 24</v>
      </c>
      <c r="E72" s="252"/>
      <c r="F72" s="255"/>
      <c r="G72" s="222" t="s">
        <v>48</v>
      </c>
      <c r="H72" s="223">
        <f>IF(CONFIGURAR!$D$21=1,CONFIGURAR!AD77,IF(CONFIGURAR!$D$21=2,CONFIGURAR!AE77,IF(CONFIGURAR!$D$21=3,CONFIGURAR!AF77,IF(CONFIGURAR!$D$21=4,CONFIGURAR!AG77,IF(CONFIGURAR!$D$21=5,CONFIGURAR!AH77,IF(CONFIGURAR!$D$21=6,CONFIGURAR!AI77,""))))))</f>
        <v>0.5416666666666663</v>
      </c>
      <c r="I72" s="247"/>
      <c r="J72" s="254" t="str">
        <f>IF(H71="","Vencedor Jogo 37",IF(H71&gt;H73,G71,G73))</f>
        <v>Vencedor Jogo 37</v>
      </c>
      <c r="K72" s="252"/>
      <c r="L72" s="220"/>
      <c r="M72" s="222" t="s">
        <v>55</v>
      </c>
      <c r="N72" s="245">
        <f>IF(CONFIGURAR!$D$21=1,CONFIGURAR!AD84,IF(CONFIGURAR!$D$21=2,CONFIGURAR!AE84,IF(CONFIGURAR!$D$21=3,CONFIGURAR!AF84,IF(CONFIGURAR!$D$21=4,CONFIGURAR!AG84+CONFIGURAR!$D$19+CONFIGURAR!$D$20,IF(CONFIGURAR!$D$21=5,CONFIGURAR!AH84+CONFIGURAR!$D$19+CONFIGURAR!$D$20,IF(CONFIGURAR!$D$21=6,CONFIGURAR!AI84+CONFIGURAR!$D$19+CONFIGURAR!$D$20,""))))))</f>
        <v>0.56597222222222177</v>
      </c>
      <c r="P72" s="254" t="str">
        <f>IF(N71="","Vencedor Jogo 44",IF(N71&gt;N73,M71,M73))</f>
        <v>Vencedor Jogo 44</v>
      </c>
      <c r="Q72" s="252"/>
      <c r="T72" s="220"/>
      <c r="U72" s="219"/>
      <c r="V72" s="281"/>
      <c r="W72" s="225"/>
      <c r="X72" s="234"/>
      <c r="Y72" s="273"/>
      <c r="Z72" s="245"/>
    </row>
    <row r="73" spans="1:26" s="221" customFormat="1" ht="23.25" customHeight="1" x14ac:dyDescent="0.2">
      <c r="A73" s="254" t="str">
        <f>IF(B44="","Derrotado do jogo 11",IF(B44&gt;B46,A46,A44))</f>
        <v>Derrotado do jogo 11</v>
      </c>
      <c r="B73" s="252"/>
      <c r="C73" s="247"/>
      <c r="D73" s="222" t="s">
        <v>41</v>
      </c>
      <c r="E73" s="223">
        <f>IF(CONFIGURAR!$D$21=1,CONFIGURAR!AD70,IF(CONFIGURAR!$D$21=2,CONFIGURAR!AE70,IF(CONFIGURAR!$D$21=3,CONFIGURAR!AF70,IF(CONFIGURAR!$D$21=4,CONFIGURAR!AG70,IF(CONFIGURAR!$D$21=5,CONFIGURAR!AH70,IF(CONFIGURAR!$D$21=6,CONFIGURAR!AI70,""))))))</f>
        <v>0.51736111111111083</v>
      </c>
      <c r="F73" s="257"/>
      <c r="G73" s="254" t="str">
        <f>IF(E72="","Vencedor Jogo 30",IF(E72&gt;E74,D72,D74))</f>
        <v>Vencedor Jogo 30</v>
      </c>
      <c r="H73" s="252"/>
      <c r="I73" s="220"/>
      <c r="J73" s="222" t="s">
        <v>52</v>
      </c>
      <c r="K73" s="223">
        <f>IF(CONFIGURAR!$D$21=1,CONFIGURAR!AD81,IF(CONFIGURAR!$D$21=2,CONFIGURAR!AE81,IF(CONFIGURAR!$D$21=3,CONFIGURAR!AF81,IF(CONFIGURAR!$D$21=4,CONFIGURAR!AG81,IF(CONFIGURAR!$D$21=5,CONFIGURAR!AH81,IF(CONFIGURAR!$D$21=6,CONFIGURAR!AI81+CONFIGURAR!$D$19+CONFIGURAR!$D$20,""))))))</f>
        <v>0.55555555555555514</v>
      </c>
      <c r="L73" s="220"/>
      <c r="M73" s="254" t="str">
        <f>IF(K72="","Vencedor Jogo 41",IF(K72&gt;K74,J72,J74))</f>
        <v>Vencedor Jogo 41</v>
      </c>
      <c r="N73" s="252"/>
      <c r="O73" s="269"/>
      <c r="P73" s="269"/>
      <c r="Q73" s="269"/>
      <c r="R73" s="269"/>
      <c r="S73" s="220"/>
      <c r="T73" s="255"/>
      <c r="W73" s="225"/>
      <c r="X73" s="234"/>
      <c r="Y73" s="273"/>
      <c r="Z73" s="245"/>
    </row>
    <row r="74" spans="1:26" s="221" customFormat="1" ht="23.25" customHeight="1" x14ac:dyDescent="0.2">
      <c r="A74" s="222" t="s">
        <v>13</v>
      </c>
      <c r="B74" s="223">
        <f>IF(CONFIGURAR!$D$21=1,CONFIGURAR!AD58,IF(CONFIGURAR!$D$21=2,CONFIGURAR!AE58,IF(CONFIGURAR!$D$21=3,CONFIGURAR!AF58,IF(CONFIGURAR!$D$21=4,CONFIGURAR!AG58,IF(CONFIGURAR!$D$21=5,CONFIGURAR!AH58,IF(CONFIGURAR!$D$21=6,CONFIGURAR!AI58,""))))))</f>
        <v>0.47569444444444425</v>
      </c>
      <c r="C74" s="255"/>
      <c r="D74" s="254" t="str">
        <f>IF(B73="","Vencedor Jogo 18",IF(B73&gt;B75,A73,A75))</f>
        <v>Vencedor Jogo 18</v>
      </c>
      <c r="E74" s="252"/>
      <c r="F74" s="247"/>
      <c r="H74" s="255"/>
      <c r="I74" s="255"/>
      <c r="J74" s="254" t="str">
        <f>IF(K11="","Derrotado Jogo 38",IF(K11&gt;K27,J27,J11))</f>
        <v>Derrotado Jogo 38</v>
      </c>
      <c r="K74" s="252"/>
      <c r="L74" s="247"/>
      <c r="M74" s="219"/>
      <c r="N74" s="219"/>
      <c r="O74" s="219"/>
      <c r="P74" s="219"/>
      <c r="Q74" s="219"/>
      <c r="R74" s="219"/>
      <c r="S74" s="220"/>
      <c r="T74" s="220"/>
      <c r="U74" s="219"/>
      <c r="V74" s="219"/>
      <c r="W74" s="220"/>
      <c r="X74" s="234"/>
      <c r="Y74" s="273"/>
      <c r="Z74" s="245"/>
    </row>
    <row r="75" spans="1:26" s="221" customFormat="1" ht="23.25" customHeight="1" x14ac:dyDescent="0.2">
      <c r="A75" s="254" t="str">
        <f>IF(B48="","Derrotado do jogo 12",IF(B48&gt;B50,A50,A48))</f>
        <v>Derrotado do jogo 12</v>
      </c>
      <c r="B75" s="252"/>
      <c r="C75" s="247"/>
      <c r="D75" s="219"/>
      <c r="E75" s="220"/>
      <c r="F75" s="220"/>
      <c r="G75" s="219"/>
      <c r="H75" s="220"/>
      <c r="I75" s="220"/>
      <c r="J75" s="213"/>
      <c r="K75" s="213"/>
      <c r="L75" s="213"/>
      <c r="M75" s="213"/>
      <c r="N75" s="213"/>
      <c r="O75" s="213"/>
      <c r="P75" s="213"/>
      <c r="Q75" s="213"/>
      <c r="R75" s="213"/>
      <c r="S75" s="213"/>
      <c r="T75" s="213"/>
      <c r="U75" s="213"/>
      <c r="V75" s="213"/>
      <c r="W75" s="213"/>
      <c r="X75" s="234"/>
      <c r="Y75" s="273"/>
      <c r="Z75" s="245"/>
    </row>
    <row r="76" spans="1:26" s="221" customFormat="1" ht="23.25" customHeight="1" x14ac:dyDescent="0.2">
      <c r="A76" s="263"/>
      <c r="B76" s="263"/>
      <c r="C76" s="263"/>
      <c r="D76" s="263"/>
      <c r="E76" s="263"/>
      <c r="F76" s="263"/>
      <c r="G76" s="263"/>
      <c r="H76" s="263"/>
      <c r="I76" s="263"/>
      <c r="J76" s="213"/>
      <c r="K76" s="213"/>
      <c r="L76" s="213"/>
      <c r="M76" s="213"/>
      <c r="N76" s="213"/>
      <c r="O76" s="213"/>
      <c r="P76" s="213"/>
      <c r="Q76" s="213"/>
      <c r="R76" s="213"/>
      <c r="S76" s="213"/>
      <c r="T76" s="213"/>
      <c r="U76" s="213"/>
      <c r="V76" s="213"/>
      <c r="W76" s="213"/>
      <c r="X76" s="234"/>
      <c r="Y76" s="273"/>
      <c r="Z76" s="245"/>
    </row>
    <row r="77" spans="1:26" s="221" customFormat="1" ht="25.5" customHeight="1" x14ac:dyDescent="0.2">
      <c r="A77" s="264" t="s">
        <v>18</v>
      </c>
      <c r="B77" s="264"/>
      <c r="C77" s="264"/>
      <c r="D77" s="264" t="s">
        <v>19</v>
      </c>
      <c r="E77" s="264"/>
      <c r="F77" s="264"/>
      <c r="G77" s="264" t="s">
        <v>20</v>
      </c>
      <c r="H77" s="264"/>
      <c r="I77" s="264"/>
      <c r="J77" s="264" t="s">
        <v>21</v>
      </c>
      <c r="K77" s="264"/>
      <c r="L77" s="264"/>
      <c r="M77" s="264" t="s">
        <v>22</v>
      </c>
      <c r="N77" s="264"/>
      <c r="O77" s="264"/>
      <c r="P77" s="264" t="s">
        <v>23</v>
      </c>
      <c r="Q77" s="264"/>
      <c r="R77" s="264"/>
      <c r="S77" s="264"/>
      <c r="T77" s="264"/>
      <c r="U77" s="264" t="s">
        <v>57</v>
      </c>
      <c r="V77" s="263"/>
      <c r="W77" s="263"/>
      <c r="Y77" s="273"/>
      <c r="Z77" s="245"/>
    </row>
    <row r="78" spans="1:26" s="266" customFormat="1" ht="15.75" customHeight="1" x14ac:dyDescent="0.2">
      <c r="A78" s="208"/>
      <c r="B78" s="209"/>
      <c r="C78" s="209"/>
      <c r="D78" s="210"/>
      <c r="E78" s="211"/>
      <c r="F78" s="211"/>
      <c r="G78" s="210"/>
      <c r="H78" s="211"/>
      <c r="I78" s="211"/>
      <c r="J78" s="210"/>
      <c r="K78" s="211"/>
      <c r="L78" s="211"/>
      <c r="M78" s="210"/>
      <c r="N78" s="210"/>
      <c r="O78" s="210"/>
      <c r="P78" s="210"/>
      <c r="Q78" s="210"/>
      <c r="R78" s="210"/>
      <c r="S78" s="211"/>
      <c r="T78" s="211"/>
      <c r="U78" s="210"/>
      <c r="V78" s="210"/>
      <c r="W78" s="211"/>
      <c r="X78" s="265"/>
      <c r="Y78" s="273"/>
      <c r="Z78" s="245"/>
    </row>
    <row r="79" spans="1:26" x14ac:dyDescent="0.2">
      <c r="Y79" s="273"/>
      <c r="Z79" s="245"/>
    </row>
    <row r="80" spans="1:26" x14ac:dyDescent="0.2">
      <c r="Y80" s="273"/>
      <c r="Z80" s="245"/>
    </row>
    <row r="81" spans="25:26" x14ac:dyDescent="0.2">
      <c r="Y81" s="273"/>
      <c r="Z81" s="245"/>
    </row>
    <row r="82" spans="25:26" x14ac:dyDescent="0.2">
      <c r="Y82" s="273"/>
      <c r="Z82" s="245"/>
    </row>
    <row r="83" spans="25:26" x14ac:dyDescent="0.2">
      <c r="Y83" s="273"/>
      <c r="Z83" s="245"/>
    </row>
    <row r="84" spans="25:26" x14ac:dyDescent="0.2">
      <c r="Y84" s="273"/>
      <c r="Z84" s="245"/>
    </row>
    <row r="85" spans="25:26" x14ac:dyDescent="0.2">
      <c r="Y85" s="273"/>
      <c r="Z85" s="245"/>
    </row>
    <row r="86" spans="25:26" x14ac:dyDescent="0.2">
      <c r="Y86" s="273"/>
      <c r="Z86" s="245"/>
    </row>
    <row r="87" spans="25:26" x14ac:dyDescent="0.2">
      <c r="Y87" s="273"/>
      <c r="Z87" s="245"/>
    </row>
    <row r="88" spans="25:26" x14ac:dyDescent="0.2">
      <c r="Y88" s="273"/>
      <c r="Z88" s="245"/>
    </row>
    <row r="89" spans="25:26" x14ac:dyDescent="0.2">
      <c r="Y89" s="273"/>
      <c r="Z89" s="245"/>
    </row>
    <row r="90" spans="25:26" x14ac:dyDescent="0.2">
      <c r="Y90" s="273"/>
      <c r="Z90" s="245"/>
    </row>
    <row r="91" spans="25:26" x14ac:dyDescent="0.2">
      <c r="Y91" s="273"/>
      <c r="Z91" s="245"/>
    </row>
    <row r="92" spans="25:26" x14ac:dyDescent="0.2">
      <c r="Y92" s="273"/>
      <c r="Z92" s="245"/>
    </row>
    <row r="93" spans="25:26" x14ac:dyDescent="0.2">
      <c r="Y93" s="273"/>
      <c r="Z93" s="245"/>
    </row>
    <row r="94" spans="25:26" x14ac:dyDescent="0.2">
      <c r="Y94" s="273"/>
      <c r="Z94" s="245"/>
    </row>
    <row r="95" spans="25:26" x14ac:dyDescent="0.2">
      <c r="Y95" s="273"/>
      <c r="Z95" s="245"/>
    </row>
    <row r="96" spans="25:26" x14ac:dyDescent="0.2">
      <c r="Y96" s="273"/>
      <c r="Z96" s="245"/>
    </row>
    <row r="97" spans="25:26" x14ac:dyDescent="0.2">
      <c r="Y97" s="273"/>
      <c r="Z97" s="245"/>
    </row>
    <row r="98" spans="25:26" x14ac:dyDescent="0.2">
      <c r="Y98" s="273"/>
      <c r="Z98" s="245"/>
    </row>
    <row r="99" spans="25:26" x14ac:dyDescent="0.2">
      <c r="Y99" s="273"/>
      <c r="Z99" s="245"/>
    </row>
    <row r="100" spans="25:26" x14ac:dyDescent="0.2">
      <c r="Y100" s="273"/>
      <c r="Z100" s="245"/>
    </row>
    <row r="101" spans="25:26" x14ac:dyDescent="0.2">
      <c r="Y101" s="273"/>
      <c r="Z101" s="245"/>
    </row>
    <row r="102" spans="25:26" x14ac:dyDescent="0.2">
      <c r="Y102" s="273"/>
      <c r="Z102" s="245"/>
    </row>
    <row r="103" spans="25:26" x14ac:dyDescent="0.2">
      <c r="Y103" s="273"/>
      <c r="Z103" s="245"/>
    </row>
    <row r="104" spans="25:26" x14ac:dyDescent="0.2">
      <c r="Y104" s="273"/>
      <c r="Z104" s="245"/>
    </row>
    <row r="105" spans="25:26" x14ac:dyDescent="0.2">
      <c r="Y105" s="273"/>
      <c r="Z105" s="245"/>
    </row>
    <row r="106" spans="25:26" x14ac:dyDescent="0.2">
      <c r="Y106" s="273"/>
      <c r="Z106" s="245"/>
    </row>
    <row r="107" spans="25:26" x14ac:dyDescent="0.2">
      <c r="Y107" s="273"/>
      <c r="Z107" s="245"/>
    </row>
    <row r="108" spans="25:26" x14ac:dyDescent="0.2">
      <c r="Y108" s="273"/>
      <c r="Z108" s="245"/>
    </row>
    <row r="109" spans="25:26" x14ac:dyDescent="0.2">
      <c r="Y109" s="273"/>
      <c r="Z109" s="245"/>
    </row>
    <row r="110" spans="25:26" x14ac:dyDescent="0.2">
      <c r="Y110" s="273"/>
      <c r="Z110" s="245"/>
    </row>
    <row r="111" spans="25:26" x14ac:dyDescent="0.2">
      <c r="Y111" s="273"/>
      <c r="Z111" s="245"/>
    </row>
    <row r="112" spans="25:26" x14ac:dyDescent="0.2">
      <c r="Y112" s="273"/>
      <c r="Z112" s="245"/>
    </row>
    <row r="113" spans="25:26" x14ac:dyDescent="0.2">
      <c r="Y113" s="273"/>
      <c r="Z113" s="245"/>
    </row>
    <row r="114" spans="25:26" x14ac:dyDescent="0.2">
      <c r="Y114" s="273"/>
      <c r="Z114" s="245"/>
    </row>
    <row r="115" spans="25:26" x14ac:dyDescent="0.2">
      <c r="Y115" s="273"/>
      <c r="Z115" s="245"/>
    </row>
    <row r="116" spans="25:26" x14ac:dyDescent="0.2">
      <c r="Y116" s="273"/>
      <c r="Z116" s="245"/>
    </row>
    <row r="117" spans="25:26" x14ac:dyDescent="0.2">
      <c r="Y117" s="273"/>
      <c r="Z117" s="245"/>
    </row>
    <row r="118" spans="25:26" x14ac:dyDescent="0.2">
      <c r="Y118" s="273"/>
      <c r="Z118" s="245"/>
    </row>
    <row r="119" spans="25:26" x14ac:dyDescent="0.2">
      <c r="Y119" s="273"/>
      <c r="Z119" s="245"/>
    </row>
    <row r="120" spans="25:26" x14ac:dyDescent="0.2">
      <c r="Y120" s="273"/>
      <c r="Z120" s="245"/>
    </row>
    <row r="121" spans="25:26" x14ac:dyDescent="0.2">
      <c r="Y121" s="273"/>
      <c r="Z121" s="245"/>
    </row>
    <row r="122" spans="25:26" x14ac:dyDescent="0.2">
      <c r="Y122" s="273"/>
      <c r="Z122" s="245"/>
    </row>
    <row r="123" spans="25:26" x14ac:dyDescent="0.2">
      <c r="Y123" s="273"/>
      <c r="Z123" s="245"/>
    </row>
    <row r="124" spans="25:26" x14ac:dyDescent="0.2">
      <c r="Y124" s="273"/>
      <c r="Z124" s="245"/>
    </row>
    <row r="125" spans="25:26" x14ac:dyDescent="0.2">
      <c r="Y125" s="273"/>
      <c r="Z125" s="245"/>
    </row>
    <row r="126" spans="25:26" x14ac:dyDescent="0.2">
      <c r="Y126" s="273"/>
      <c r="Z126" s="245"/>
    </row>
    <row r="127" spans="25:26" x14ac:dyDescent="0.2">
      <c r="Y127" s="273"/>
      <c r="Z127" s="245"/>
    </row>
    <row r="128" spans="25:26" x14ac:dyDescent="0.2">
      <c r="Y128" s="273"/>
      <c r="Z128" s="245"/>
    </row>
    <row r="129" spans="25:26" x14ac:dyDescent="0.2">
      <c r="Y129" s="273"/>
      <c r="Z129" s="245"/>
    </row>
    <row r="130" spans="25:26" x14ac:dyDescent="0.2">
      <c r="Y130" s="273"/>
      <c r="Z130" s="245"/>
    </row>
    <row r="131" spans="25:26" x14ac:dyDescent="0.2">
      <c r="Y131" s="273"/>
      <c r="Z131" s="245"/>
    </row>
    <row r="132" spans="25:26" x14ac:dyDescent="0.2">
      <c r="Y132" s="273"/>
      <c r="Z132" s="245"/>
    </row>
    <row r="133" spans="25:26" x14ac:dyDescent="0.2">
      <c r="Y133" s="273"/>
      <c r="Z133" s="245"/>
    </row>
    <row r="134" spans="25:26" x14ac:dyDescent="0.2">
      <c r="Y134" s="273"/>
      <c r="Z134" s="245"/>
    </row>
    <row r="135" spans="25:26" x14ac:dyDescent="0.2">
      <c r="Y135" s="273"/>
      <c r="Z135" s="245"/>
    </row>
    <row r="136" spans="25:26" x14ac:dyDescent="0.2">
      <c r="Y136" s="273"/>
      <c r="Z136" s="245"/>
    </row>
    <row r="137" spans="25:26" x14ac:dyDescent="0.2">
      <c r="Y137" s="273"/>
      <c r="Z137" s="245"/>
    </row>
    <row r="138" spans="25:26" x14ac:dyDescent="0.2">
      <c r="Y138" s="273"/>
      <c r="Z138" s="245"/>
    </row>
    <row r="139" spans="25:26" x14ac:dyDescent="0.2">
      <c r="Y139" s="273"/>
      <c r="Z139" s="245"/>
    </row>
    <row r="140" spans="25:26" x14ac:dyDescent="0.2">
      <c r="Y140" s="273"/>
      <c r="Z140" s="245"/>
    </row>
    <row r="141" spans="25:26" x14ac:dyDescent="0.2">
      <c r="Y141" s="273"/>
      <c r="Z141" s="245"/>
    </row>
    <row r="142" spans="25:26" x14ac:dyDescent="0.2">
      <c r="Y142" s="273"/>
      <c r="Z142" s="245"/>
    </row>
    <row r="143" spans="25:26" x14ac:dyDescent="0.2">
      <c r="Y143" s="273"/>
      <c r="Z143" s="245"/>
    </row>
    <row r="144" spans="25:26" x14ac:dyDescent="0.2">
      <c r="Y144" s="273"/>
      <c r="Z144" s="245"/>
    </row>
    <row r="145" spans="25:26" x14ac:dyDescent="0.2">
      <c r="Y145" s="273"/>
      <c r="Z145" s="245"/>
    </row>
    <row r="146" spans="25:26" x14ac:dyDescent="0.2">
      <c r="Y146" s="273"/>
      <c r="Z146" s="245"/>
    </row>
    <row r="147" spans="25:26" x14ac:dyDescent="0.2">
      <c r="Y147" s="273"/>
      <c r="Z147" s="245"/>
    </row>
    <row r="148" spans="25:26" x14ac:dyDescent="0.2">
      <c r="Y148" s="273"/>
      <c r="Z148" s="245"/>
    </row>
    <row r="149" spans="25:26" x14ac:dyDescent="0.2">
      <c r="Y149" s="273"/>
      <c r="Z149" s="245"/>
    </row>
    <row r="150" spans="25:26" x14ac:dyDescent="0.2">
      <c r="Y150" s="273"/>
      <c r="Z150" s="245"/>
    </row>
    <row r="151" spans="25:26" x14ac:dyDescent="0.2">
      <c r="Y151" s="273"/>
      <c r="Z151" s="245"/>
    </row>
    <row r="152" spans="25:26" x14ac:dyDescent="0.2">
      <c r="Y152" s="273"/>
      <c r="Z152" s="245"/>
    </row>
    <row r="153" spans="25:26" x14ac:dyDescent="0.2">
      <c r="Y153" s="273"/>
      <c r="Z153" s="245"/>
    </row>
    <row r="154" spans="25:26" x14ac:dyDescent="0.2">
      <c r="Y154" s="273"/>
      <c r="Z154" s="245"/>
    </row>
    <row r="155" spans="25:26" x14ac:dyDescent="0.2">
      <c r="Y155" s="273"/>
      <c r="Z155" s="245"/>
    </row>
    <row r="156" spans="25:26" x14ac:dyDescent="0.2">
      <c r="Y156" s="273"/>
      <c r="Z156" s="245"/>
    </row>
    <row r="157" spans="25:26" x14ac:dyDescent="0.2">
      <c r="Y157" s="273"/>
      <c r="Z157" s="245"/>
    </row>
    <row r="158" spans="25:26" x14ac:dyDescent="0.2">
      <c r="Y158" s="273"/>
      <c r="Z158" s="245"/>
    </row>
    <row r="159" spans="25:26" x14ac:dyDescent="0.2">
      <c r="Y159" s="273"/>
      <c r="Z159" s="245"/>
    </row>
    <row r="160" spans="25:26" x14ac:dyDescent="0.2">
      <c r="Y160" s="273"/>
      <c r="Z160" s="245"/>
    </row>
    <row r="161" spans="25:26" x14ac:dyDescent="0.2">
      <c r="Y161" s="273"/>
      <c r="Z161" s="245"/>
    </row>
    <row r="162" spans="25:26" x14ac:dyDescent="0.2">
      <c r="Y162" s="273"/>
      <c r="Z162" s="245"/>
    </row>
    <row r="163" spans="25:26" x14ac:dyDescent="0.2">
      <c r="Y163" s="273"/>
      <c r="Z163" s="245"/>
    </row>
    <row r="164" spans="25:26" x14ac:dyDescent="0.2">
      <c r="Y164" s="273"/>
      <c r="Z164" s="245"/>
    </row>
    <row r="165" spans="25:26" x14ac:dyDescent="0.2">
      <c r="Y165" s="273"/>
      <c r="Z165" s="245"/>
    </row>
    <row r="166" spans="25:26" x14ac:dyDescent="0.2">
      <c r="Y166" s="273"/>
      <c r="Z166" s="245"/>
    </row>
    <row r="167" spans="25:26" x14ac:dyDescent="0.2">
      <c r="Y167" s="273"/>
      <c r="Z167" s="245"/>
    </row>
    <row r="168" spans="25:26" x14ac:dyDescent="0.2">
      <c r="Y168" s="273"/>
      <c r="Z168" s="245"/>
    </row>
    <row r="169" spans="25:26" x14ac:dyDescent="0.2">
      <c r="Y169" s="273"/>
      <c r="Z169" s="245"/>
    </row>
    <row r="170" spans="25:26" x14ac:dyDescent="0.2">
      <c r="Y170" s="273"/>
      <c r="Z170" s="245"/>
    </row>
    <row r="171" spans="25:26" x14ac:dyDescent="0.2">
      <c r="Y171" s="273"/>
      <c r="Z171" s="245"/>
    </row>
    <row r="172" spans="25:26" x14ac:dyDescent="0.2">
      <c r="Y172" s="273"/>
      <c r="Z172" s="245"/>
    </row>
    <row r="173" spans="25:26" x14ac:dyDescent="0.2">
      <c r="Y173" s="273"/>
      <c r="Z173" s="245"/>
    </row>
    <row r="174" spans="25:26" x14ac:dyDescent="0.2">
      <c r="Y174" s="273"/>
      <c r="Z174" s="245"/>
    </row>
    <row r="175" spans="25:26" x14ac:dyDescent="0.2">
      <c r="Y175" s="273"/>
      <c r="Z175" s="245"/>
    </row>
    <row r="176" spans="25:26" x14ac:dyDescent="0.2">
      <c r="Y176" s="273"/>
      <c r="Z176" s="245"/>
    </row>
    <row r="177" spans="25:26" x14ac:dyDescent="0.2">
      <c r="Y177" s="273"/>
      <c r="Z177" s="245"/>
    </row>
    <row r="178" spans="25:26" x14ac:dyDescent="0.2">
      <c r="Y178" s="273"/>
      <c r="Z178" s="245"/>
    </row>
    <row r="179" spans="25:26" x14ac:dyDescent="0.2">
      <c r="Y179" s="273"/>
      <c r="Z179" s="245"/>
    </row>
    <row r="180" spans="25:26" x14ac:dyDescent="0.2">
      <c r="Y180" s="273"/>
      <c r="Z180" s="245"/>
    </row>
    <row r="181" spans="25:26" x14ac:dyDescent="0.2">
      <c r="Y181" s="273"/>
      <c r="Z181" s="245"/>
    </row>
    <row r="182" spans="25:26" x14ac:dyDescent="0.2">
      <c r="Y182" s="273"/>
      <c r="Z182" s="245"/>
    </row>
    <row r="183" spans="25:26" x14ac:dyDescent="0.2">
      <c r="Y183" s="273"/>
      <c r="Z183" s="245"/>
    </row>
    <row r="184" spans="25:26" x14ac:dyDescent="0.2">
      <c r="Y184" s="273"/>
      <c r="Z184" s="245"/>
    </row>
    <row r="185" spans="25:26" x14ac:dyDescent="0.2">
      <c r="Y185" s="273"/>
      <c r="Z185" s="245"/>
    </row>
    <row r="186" spans="25:26" x14ac:dyDescent="0.2">
      <c r="Y186" s="273"/>
      <c r="Z186" s="245"/>
    </row>
    <row r="187" spans="25:26" x14ac:dyDescent="0.2">
      <c r="Y187" s="273"/>
      <c r="Z187" s="245"/>
    </row>
    <row r="188" spans="25:26" x14ac:dyDescent="0.2">
      <c r="Y188" s="273"/>
      <c r="Z188" s="245"/>
    </row>
    <row r="189" spans="25:26" x14ac:dyDescent="0.2">
      <c r="Y189" s="273"/>
      <c r="Z189" s="245"/>
    </row>
    <row r="190" spans="25:26" x14ac:dyDescent="0.2">
      <c r="Y190" s="273"/>
      <c r="Z190" s="245"/>
    </row>
    <row r="191" spans="25:26" x14ac:dyDescent="0.2">
      <c r="Y191" s="273"/>
      <c r="Z191" s="245"/>
    </row>
    <row r="192" spans="25:26" x14ac:dyDescent="0.2">
      <c r="Y192" s="273"/>
      <c r="Z192" s="245"/>
    </row>
    <row r="193" spans="25:26" x14ac:dyDescent="0.2">
      <c r="Y193" s="273"/>
      <c r="Z193" s="245"/>
    </row>
    <row r="194" spans="25:26" x14ac:dyDescent="0.2">
      <c r="Y194" s="273"/>
      <c r="Z194" s="245"/>
    </row>
    <row r="195" spans="25:26" x14ac:dyDescent="0.2">
      <c r="Y195" s="273"/>
      <c r="Z195" s="245"/>
    </row>
    <row r="196" spans="25:26" x14ac:dyDescent="0.2">
      <c r="Y196" s="273"/>
      <c r="Z196" s="245"/>
    </row>
    <row r="197" spans="25:26" x14ac:dyDescent="0.2">
      <c r="Y197" s="273"/>
      <c r="Z197" s="245"/>
    </row>
    <row r="198" spans="25:26" x14ac:dyDescent="0.2">
      <c r="Y198" s="273"/>
      <c r="Z198" s="245"/>
    </row>
    <row r="199" spans="25:26" x14ac:dyDescent="0.2">
      <c r="Y199" s="273"/>
      <c r="Z199" s="245"/>
    </row>
    <row r="200" spans="25:26" x14ac:dyDescent="0.2">
      <c r="Y200" s="273"/>
      <c r="Z200" s="245"/>
    </row>
    <row r="201" spans="25:26" x14ac:dyDescent="0.2">
      <c r="Y201" s="273"/>
      <c r="Z201" s="245"/>
    </row>
    <row r="202" spans="25:26" x14ac:dyDescent="0.2">
      <c r="Y202" s="273"/>
      <c r="Z202" s="245"/>
    </row>
    <row r="203" spans="25:26" x14ac:dyDescent="0.2">
      <c r="Y203" s="273"/>
      <c r="Z203" s="245"/>
    </row>
    <row r="204" spans="25:26" x14ac:dyDescent="0.2">
      <c r="Y204" s="273"/>
      <c r="Z204" s="245"/>
    </row>
    <row r="205" spans="25:26" x14ac:dyDescent="0.2">
      <c r="Y205" s="273"/>
      <c r="Z205" s="245"/>
    </row>
    <row r="206" spans="25:26" x14ac:dyDescent="0.2">
      <c r="Y206" s="273"/>
      <c r="Z206" s="245"/>
    </row>
    <row r="207" spans="25:26" x14ac:dyDescent="0.2">
      <c r="Y207" s="273"/>
      <c r="Z207" s="245"/>
    </row>
    <row r="208" spans="25:26" x14ac:dyDescent="0.2">
      <c r="Y208" s="273"/>
      <c r="Z208" s="245"/>
    </row>
    <row r="209" spans="25:26" x14ac:dyDescent="0.2">
      <c r="Y209" s="273"/>
      <c r="Z209" s="245"/>
    </row>
    <row r="210" spans="25:26" x14ac:dyDescent="0.2">
      <c r="Y210" s="273"/>
      <c r="Z210" s="245"/>
    </row>
    <row r="211" spans="25:26" x14ac:dyDescent="0.2">
      <c r="Y211" s="273"/>
      <c r="Z211" s="245"/>
    </row>
    <row r="212" spans="25:26" x14ac:dyDescent="0.2">
      <c r="Y212" s="273"/>
      <c r="Z212" s="245"/>
    </row>
    <row r="213" spans="25:26" x14ac:dyDescent="0.2">
      <c r="Y213" s="273"/>
      <c r="Z213" s="245"/>
    </row>
    <row r="214" spans="25:26" x14ac:dyDescent="0.2">
      <c r="Y214" s="273"/>
      <c r="Z214" s="245"/>
    </row>
    <row r="215" spans="25:26" x14ac:dyDescent="0.2">
      <c r="Y215" s="273"/>
      <c r="Z215" s="245"/>
    </row>
    <row r="216" spans="25:26" x14ac:dyDescent="0.2">
      <c r="Y216" s="273"/>
      <c r="Z216" s="245"/>
    </row>
    <row r="217" spans="25:26" x14ac:dyDescent="0.2">
      <c r="Y217" s="273"/>
      <c r="Z217" s="245"/>
    </row>
    <row r="218" spans="25:26" x14ac:dyDescent="0.2">
      <c r="Y218" s="273"/>
      <c r="Z218" s="245"/>
    </row>
    <row r="219" spans="25:26" x14ac:dyDescent="0.2">
      <c r="Y219" s="273"/>
      <c r="Z219" s="245"/>
    </row>
    <row r="220" spans="25:26" x14ac:dyDescent="0.2">
      <c r="Y220" s="273"/>
      <c r="Z220" s="245"/>
    </row>
    <row r="221" spans="25:26" x14ac:dyDescent="0.2">
      <c r="Y221" s="273"/>
      <c r="Z221" s="245"/>
    </row>
    <row r="222" spans="25:26" x14ac:dyDescent="0.2">
      <c r="Y222" s="273"/>
      <c r="Z222" s="245"/>
    </row>
    <row r="223" spans="25:26" x14ac:dyDescent="0.2">
      <c r="Y223" s="273"/>
      <c r="Z223" s="245"/>
    </row>
    <row r="224" spans="25:26" x14ac:dyDescent="0.2">
      <c r="Y224" s="273"/>
      <c r="Z224" s="245"/>
    </row>
    <row r="225" spans="25:26" x14ac:dyDescent="0.2">
      <c r="Y225" s="273"/>
      <c r="Z225" s="245"/>
    </row>
    <row r="226" spans="25:26" x14ac:dyDescent="0.2">
      <c r="Y226" s="273"/>
      <c r="Z226" s="245"/>
    </row>
    <row r="227" spans="25:26" x14ac:dyDescent="0.2">
      <c r="Y227" s="273"/>
      <c r="Z227" s="245"/>
    </row>
    <row r="228" spans="25:26" x14ac:dyDescent="0.2">
      <c r="Y228" s="273"/>
      <c r="Z228" s="245"/>
    </row>
    <row r="229" spans="25:26" x14ac:dyDescent="0.2">
      <c r="Y229" s="273"/>
      <c r="Z229" s="245"/>
    </row>
    <row r="230" spans="25:26" x14ac:dyDescent="0.2">
      <c r="Y230" s="273"/>
      <c r="Z230" s="245"/>
    </row>
    <row r="231" spans="25:26" x14ac:dyDescent="0.2">
      <c r="Y231" s="273"/>
      <c r="Z231" s="245"/>
    </row>
    <row r="232" spans="25:26" x14ac:dyDescent="0.2">
      <c r="Y232" s="273"/>
      <c r="Z232" s="245"/>
    </row>
    <row r="233" spans="25:26" x14ac:dyDescent="0.2">
      <c r="Y233" s="273"/>
      <c r="Z233" s="245"/>
    </row>
    <row r="234" spans="25:26" x14ac:dyDescent="0.2">
      <c r="Y234" s="273"/>
      <c r="Z234" s="245"/>
    </row>
    <row r="235" spans="25:26" x14ac:dyDescent="0.2">
      <c r="Y235" s="273"/>
      <c r="Z235" s="245"/>
    </row>
    <row r="236" spans="25:26" x14ac:dyDescent="0.2">
      <c r="Y236" s="273"/>
      <c r="Z236" s="245"/>
    </row>
    <row r="237" spans="25:26" x14ac:dyDescent="0.2">
      <c r="Y237" s="273"/>
      <c r="Z237" s="245"/>
    </row>
    <row r="238" spans="25:26" x14ac:dyDescent="0.2">
      <c r="Y238" s="273"/>
      <c r="Z238" s="245"/>
    </row>
    <row r="239" spans="25:26" x14ac:dyDescent="0.2">
      <c r="Y239" s="273"/>
      <c r="Z239" s="245"/>
    </row>
    <row r="240" spans="25:26" x14ac:dyDescent="0.2">
      <c r="Y240" s="273"/>
      <c r="Z240" s="245"/>
    </row>
    <row r="241" spans="25:26" x14ac:dyDescent="0.2">
      <c r="Y241" s="273"/>
      <c r="Z241" s="245"/>
    </row>
    <row r="242" spans="25:26" x14ac:dyDescent="0.2">
      <c r="Y242" s="273"/>
      <c r="Z242" s="245"/>
    </row>
    <row r="243" spans="25:26" x14ac:dyDescent="0.2">
      <c r="Y243" s="273"/>
      <c r="Z243" s="245"/>
    </row>
    <row r="244" spans="25:26" x14ac:dyDescent="0.2">
      <c r="Y244" s="273"/>
      <c r="Z244" s="245"/>
    </row>
    <row r="245" spans="25:26" x14ac:dyDescent="0.2">
      <c r="Y245" s="273"/>
      <c r="Z245" s="245"/>
    </row>
    <row r="246" spans="25:26" x14ac:dyDescent="0.2">
      <c r="Y246" s="273"/>
      <c r="Z246" s="245"/>
    </row>
    <row r="247" spans="25:26" x14ac:dyDescent="0.2">
      <c r="Y247" s="273"/>
      <c r="Z247" s="245"/>
    </row>
    <row r="248" spans="25:26" x14ac:dyDescent="0.2">
      <c r="Y248" s="273"/>
      <c r="Z248" s="245"/>
    </row>
    <row r="249" spans="25:26" x14ac:dyDescent="0.2">
      <c r="Y249" s="273"/>
      <c r="Z249" s="245"/>
    </row>
    <row r="250" spans="25:26" x14ac:dyDescent="0.2">
      <c r="Y250" s="273"/>
      <c r="Z250" s="245"/>
    </row>
    <row r="251" spans="25:26" x14ac:dyDescent="0.2">
      <c r="Y251" s="273"/>
      <c r="Z251" s="245"/>
    </row>
    <row r="252" spans="25:26" x14ac:dyDescent="0.2">
      <c r="Y252" s="273"/>
      <c r="Z252" s="245"/>
    </row>
    <row r="253" spans="25:26" x14ac:dyDescent="0.2">
      <c r="Y253" s="273"/>
      <c r="Z253" s="245"/>
    </row>
    <row r="254" spans="25:26" x14ac:dyDescent="0.2">
      <c r="Y254" s="273"/>
      <c r="Z254" s="245"/>
    </row>
    <row r="255" spans="25:26" x14ac:dyDescent="0.2">
      <c r="Z255" s="245"/>
    </row>
    <row r="256" spans="25:26" x14ac:dyDescent="0.2">
      <c r="Z256" s="245"/>
    </row>
    <row r="257" spans="26:26" x14ac:dyDescent="0.2">
      <c r="Z257" s="245"/>
    </row>
    <row r="258" spans="26:26" x14ac:dyDescent="0.2">
      <c r="Z258" s="245"/>
    </row>
    <row r="259" spans="26:26" x14ac:dyDescent="0.2">
      <c r="Z259" s="245"/>
    </row>
    <row r="260" spans="26:26" x14ac:dyDescent="0.2">
      <c r="Z260" s="245"/>
    </row>
    <row r="261" spans="26:26" x14ac:dyDescent="0.2">
      <c r="Z261" s="245"/>
    </row>
  </sheetData>
  <mergeCells count="10">
    <mergeCell ref="U49:U50"/>
    <mergeCell ref="V49:W50"/>
    <mergeCell ref="T19:W21"/>
    <mergeCell ref="Q11:W12"/>
    <mergeCell ref="Q13:W14"/>
    <mergeCell ref="M6:T6"/>
    <mergeCell ref="V6:W6"/>
    <mergeCell ref="T25:W26"/>
    <mergeCell ref="T30:W31"/>
    <mergeCell ref="M7:W10"/>
  </mergeCells>
  <phoneticPr fontId="0" type="noConversion"/>
  <conditionalFormatting sqref="G5">
    <cfRule type="expression" dxfId="231" priority="1" stopIfTrue="1">
      <formula>B4=""</formula>
    </cfRule>
  </conditionalFormatting>
  <conditionalFormatting sqref="R68 O68">
    <cfRule type="expression" dxfId="230" priority="2" stopIfTrue="1">
      <formula>$H69=""</formula>
    </cfRule>
  </conditionalFormatting>
  <conditionalFormatting sqref="A12 A14 A6 A8 A10 A4 A16 A18 A20 A22 A24 A26 A28 A30 A32 A34 A36 D5 D9 D13 D17 D21 D25 D29 D33 G7 G15 G23 G31 J11 J27 M18 A38 A40 A42 A44 A46 A48 A50 D37 D41 D45 D49 G39 G47 M43">
    <cfRule type="expression" dxfId="229" priority="3" stopIfTrue="1">
      <formula>B4&lt;&gt;""</formula>
    </cfRule>
  </conditionalFormatting>
  <conditionalFormatting sqref="A5 A9 A13 A17 A21 A25 A29 A33 A37 A41 A45 A49 A54 A58 A62 A66 A70 A74 G68 M72">
    <cfRule type="expression" dxfId="228" priority="4" stopIfTrue="1">
      <formula>B4&lt;&gt;""</formula>
    </cfRule>
  </conditionalFormatting>
  <conditionalFormatting sqref="D7 D15 D23 D31 D39 D47 G59">
    <cfRule type="expression" dxfId="227" priority="5" stopIfTrue="1">
      <formula>E5&lt;&gt;""</formula>
    </cfRule>
  </conditionalFormatting>
  <conditionalFormatting sqref="G11 G27 G43">
    <cfRule type="expression" dxfId="226" priority="6" stopIfTrue="1">
      <formula>H7&lt;&gt;""</formula>
    </cfRule>
  </conditionalFormatting>
  <conditionalFormatting sqref="M61 P66">
    <cfRule type="expression" dxfId="225" priority="7" stopIfTrue="1">
      <formula>N56&lt;&gt;""</formula>
    </cfRule>
  </conditionalFormatting>
  <conditionalFormatting sqref="J18">
    <cfRule type="expression" dxfId="224" priority="8" stopIfTrue="1">
      <formula>K11&lt;&gt;""</formula>
    </cfRule>
  </conditionalFormatting>
  <conditionalFormatting sqref="M29">
    <cfRule type="expression" dxfId="223" priority="9" stopIfTrue="1">
      <formula>N18&lt;&gt;""</formula>
    </cfRule>
  </conditionalFormatting>
  <conditionalFormatting sqref="B5 Z56:Z261 B9 B13 B17 B21 B25 B29 B33 B37 B41 B45 B49 B54 B58 B62 B66 B70 B74 H68 N72 K73 H64 H72">
    <cfRule type="expression" dxfId="222" priority="10" stopIfTrue="1">
      <formula>B4&lt;&gt;""</formula>
    </cfRule>
  </conditionalFormatting>
  <conditionalFormatting sqref="H11 H27 H43">
    <cfRule type="expression" dxfId="221" priority="11" stopIfTrue="1">
      <formula>H7&lt;&gt;""</formula>
    </cfRule>
  </conditionalFormatting>
  <conditionalFormatting sqref="N29">
    <cfRule type="expression" dxfId="220" priority="12" stopIfTrue="1">
      <formula>N18&lt;&gt;""</formula>
    </cfRule>
  </conditionalFormatting>
  <conditionalFormatting sqref="Z55">
    <cfRule type="expression" dxfId="219" priority="13" stopIfTrue="1">
      <formula>V49&lt;&gt;""</formula>
    </cfRule>
  </conditionalFormatting>
  <conditionalFormatting sqref="H59 E47 E39 E31 E23 E15 E7 K66">
    <cfRule type="expression" dxfId="218" priority="14" stopIfTrue="1">
      <formula>E5&lt;&gt;""</formula>
    </cfRule>
  </conditionalFormatting>
  <conditionalFormatting sqref="K56">
    <cfRule type="expression" dxfId="217" priority="15" stopIfTrue="1">
      <formula>K53&lt;&gt;""</formula>
    </cfRule>
  </conditionalFormatting>
  <conditionalFormatting sqref="K18">
    <cfRule type="expression" dxfId="216" priority="16" stopIfTrue="1">
      <formula>K11&lt;&gt;""</formula>
    </cfRule>
  </conditionalFormatting>
  <conditionalFormatting sqref="G72">
    <cfRule type="expression" dxfId="215" priority="17" stopIfTrue="1">
      <formula>H63&lt;&gt;""</formula>
    </cfRule>
  </conditionalFormatting>
  <conditionalFormatting sqref="G64 D65 D53">
    <cfRule type="expression" dxfId="214" priority="18" stopIfTrue="1">
      <formula>E60&lt;&gt;""</formula>
    </cfRule>
  </conditionalFormatting>
  <conditionalFormatting sqref="J56 D61">
    <cfRule type="expression" dxfId="213" priority="19" stopIfTrue="1">
      <formula>E59&lt;&gt;""</formula>
    </cfRule>
  </conditionalFormatting>
  <conditionalFormatting sqref="J66">
    <cfRule type="expression" dxfId="212" priority="20" stopIfTrue="1">
      <formula>K68&lt;&gt;""</formula>
    </cfRule>
  </conditionalFormatting>
  <conditionalFormatting sqref="Q66 N61">
    <cfRule type="expression" dxfId="211" priority="21" stopIfTrue="1">
      <formula>N56&lt;&gt;""</formula>
    </cfRule>
  </conditionalFormatting>
  <conditionalFormatting sqref="D57">
    <cfRule type="expression" dxfId="210" priority="22" stopIfTrue="1">
      <formula>E68&lt;&gt;""</formula>
    </cfRule>
  </conditionalFormatting>
  <conditionalFormatting sqref="E57">
    <cfRule type="expression" dxfId="209" priority="23" stopIfTrue="1">
      <formula>E68&lt;&gt;""</formula>
    </cfRule>
  </conditionalFormatting>
  <conditionalFormatting sqref="E65 E53">
    <cfRule type="expression" dxfId="208" priority="24" stopIfTrue="1">
      <formula>E60&lt;&gt;""</formula>
    </cfRule>
  </conditionalFormatting>
  <conditionalFormatting sqref="E61">
    <cfRule type="expression" dxfId="207" priority="25" stopIfTrue="1">
      <formula>E64&lt;&gt;""</formula>
    </cfRule>
  </conditionalFormatting>
  <conditionalFormatting sqref="D69">
    <cfRule type="expression" dxfId="206" priority="26" stopIfTrue="1">
      <formula>E68&lt;&gt;""</formula>
    </cfRule>
  </conditionalFormatting>
  <conditionalFormatting sqref="E69">
    <cfRule type="expression" dxfId="205" priority="27" stopIfTrue="1">
      <formula>E56&lt;&gt;""</formula>
    </cfRule>
  </conditionalFormatting>
  <conditionalFormatting sqref="D73">
    <cfRule type="expression" dxfId="204" priority="28" stopIfTrue="1">
      <formula>E72&lt;&gt;""</formula>
    </cfRule>
  </conditionalFormatting>
  <conditionalFormatting sqref="E73">
    <cfRule type="expression" dxfId="203" priority="29" stopIfTrue="1">
      <formula>E52&lt;&gt;""</formula>
    </cfRule>
  </conditionalFormatting>
  <conditionalFormatting sqref="A53 A55 A57 A59 A61 A63 A65 A67 A69 A71 A73 A75 D52 D54 D56 D58 D60 D62 D64 D66 D68 D70 D72 D74 G57 G61 G63 G65 G67 G69 G71 G73 J53 J59 J64 J68 J72 J74 M56 M66 M71 M73 P61 P72">
    <cfRule type="expression" dxfId="202" priority="30" stopIfTrue="1">
      <formula>B52&lt;&gt;""</formula>
    </cfRule>
  </conditionalFormatting>
  <conditionalFormatting sqref="Q11:W12 M7:W10">
    <cfRule type="expression" dxfId="201" priority="31" stopIfTrue="1">
      <formula>$W$2=1</formula>
    </cfRule>
    <cfRule type="expression" dxfId="200" priority="32" stopIfTrue="1">
      <formula>$W$2=2</formula>
    </cfRule>
  </conditionalFormatting>
  <conditionalFormatting sqref="Q13:W14">
    <cfRule type="expression" dxfId="199" priority="33" stopIfTrue="1">
      <formula>$W$2=1</formula>
    </cfRule>
    <cfRule type="expression" dxfId="198" priority="34" stopIfTrue="1">
      <formula>$W$2=2</formula>
    </cfRule>
  </conditionalFormatting>
  <conditionalFormatting sqref="B4 B12 H47 N43 B10 B8 B50 E49 B48 E41 E37 E45 H39 B6 B14 B16 B18 B20 B22 B24 B26 B28 B30 B32 B34 B36 E5 E9 E13 E17 E21 E25 E29 E33 H7 H15 H23 H31 K11 K27 N18 B38 B40 B42 B44 B46">
    <cfRule type="cellIs" dxfId="197" priority="35" stopIfTrue="1" operator="notEqual">
      <formula>""</formula>
    </cfRule>
  </conditionalFormatting>
  <conditionalFormatting sqref="W47">
    <cfRule type="expression" dxfId="196" priority="36" stopIfTrue="1">
      <formula>$V$48&lt;$V$51</formula>
    </cfRule>
  </conditionalFormatting>
  <conditionalFormatting sqref="W48">
    <cfRule type="expression" dxfId="195" priority="37" stopIfTrue="1">
      <formula>$V$48&lt;$V$51</formula>
    </cfRule>
    <cfRule type="expression" dxfId="194" priority="38" stopIfTrue="1">
      <formula>$V$48&gt;$V$51</formula>
    </cfRule>
  </conditionalFormatting>
  <conditionalFormatting sqref="I69:I70 H70">
    <cfRule type="expression" dxfId="193" priority="39" stopIfTrue="1">
      <formula>#REF!=""</formula>
    </cfRule>
  </conditionalFormatting>
  <conditionalFormatting sqref="L68:L69">
    <cfRule type="expression" dxfId="192" priority="40" stopIfTrue="1">
      <formula>#REF!=""</formula>
    </cfRule>
  </conditionalFormatting>
  <conditionalFormatting sqref="B51:B52 D4 B27 C16:C18 C20:C22 C40:C42 C48:C52 C24:C30 C44:C46 C32:C34 C36:C38 C4:C6 C8:C10 C12:C14">
    <cfRule type="expression" priority="41" stopIfTrue="1">
      <formula>$B$4=0</formula>
    </cfRule>
    <cfRule type="expression" priority="42" stopIfTrue="1">
      <formula>$B$6=0</formula>
    </cfRule>
  </conditionalFormatting>
  <conditionalFormatting sqref="B53 B55 B57 B59 B61 B63 B65 B67 B69 B71 B73 B75 E52 E54 E56 E58 E60 E62 E64 E66 E68 E70 E72 E74 H57 H61 H63 H65 H67 H69 H71 H73 K53 K59 K64 K68 K72 K74 N56 N66 N71 N73 Q61 Q72">
    <cfRule type="cellIs" dxfId="191" priority="43" stopIfTrue="1" operator="notEqual">
      <formula>""</formula>
    </cfRule>
  </conditionalFormatting>
  <conditionalFormatting sqref="W51">
    <cfRule type="expression" dxfId="190" priority="44" stopIfTrue="1">
      <formula>V48&lt;V51</formula>
    </cfRule>
  </conditionalFormatting>
  <conditionalFormatting sqref="J73">
    <cfRule type="expression" dxfId="189" priority="45" stopIfTrue="1">
      <formula>K72&lt;&gt;""</formula>
    </cfRule>
  </conditionalFormatting>
  <printOptions horizontalCentered="1" verticalCentered="1"/>
  <pageMargins left="0.75" right="0.75" top="0" bottom="0" header="0" footer="0"/>
  <pageSetup paperSize="8" scale="44" orientation="portrait" horizontalDpi="300" verticalDpi="3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3"/>
  <dimension ref="A2:AA168"/>
  <sheetViews>
    <sheetView zoomScale="75" zoomScaleNormal="75" zoomScaleSheetLayoutView="100" workbookViewId="0">
      <selection activeCell="B56" sqref="B56"/>
    </sheetView>
  </sheetViews>
  <sheetFormatPr defaultRowHeight="12.75" x14ac:dyDescent="0.2"/>
  <cols>
    <col min="1" max="1" width="20" style="208" customWidth="1"/>
    <col min="2" max="2" width="5.625" style="209" customWidth="1"/>
    <col min="3" max="3" width="6.25" style="209" customWidth="1"/>
    <col min="4" max="4" width="20" style="210" customWidth="1"/>
    <col min="5" max="5" width="5.625" style="211" customWidth="1"/>
    <col min="6" max="6" width="6.25" style="211" customWidth="1"/>
    <col min="7" max="7" width="20" style="210" customWidth="1"/>
    <col min="8" max="8" width="5.625" style="211" customWidth="1"/>
    <col min="9" max="9" width="6.25" style="211" customWidth="1"/>
    <col min="10" max="10" width="20" style="210" customWidth="1"/>
    <col min="11" max="11" width="5.625" style="211" customWidth="1"/>
    <col min="12" max="12" width="6.25" style="211" customWidth="1"/>
    <col min="13" max="13" width="20" style="210" customWidth="1"/>
    <col min="14" max="14" width="5.625" style="210" customWidth="1"/>
    <col min="15" max="15" width="6.25" style="210" customWidth="1"/>
    <col min="16" max="16" width="20" style="210" customWidth="1"/>
    <col min="17" max="17" width="5.625" style="210" customWidth="1"/>
    <col min="18" max="18" width="4.375" style="210" customWidth="1"/>
    <col min="19" max="19" width="4.25" style="211" customWidth="1"/>
    <col min="20" max="20" width="6.25" style="211" customWidth="1"/>
    <col min="21" max="21" width="20" style="210" customWidth="1"/>
    <col min="22" max="22" width="4.375" style="210" customWidth="1"/>
    <col min="23" max="23" width="4.375" style="211" customWidth="1"/>
    <col min="24" max="24" width="25.25" style="214" customWidth="1"/>
    <col min="25" max="25" width="4.375" style="215" customWidth="1"/>
    <col min="26" max="26" width="5.625" style="215" bestFit="1" customWidth="1"/>
    <col min="27" max="42" width="5" style="214" customWidth="1"/>
    <col min="43" max="16384" width="9" style="214"/>
  </cols>
  <sheetData>
    <row r="2" spans="1:26" s="206" customFormat="1" ht="15" customHeight="1" x14ac:dyDescent="0.2">
      <c r="A2" s="203" t="s">
        <v>18</v>
      </c>
      <c r="B2" s="203"/>
      <c r="C2" s="203"/>
      <c r="D2" s="203" t="s">
        <v>19</v>
      </c>
      <c r="E2" s="203"/>
      <c r="F2" s="203"/>
      <c r="G2" s="203" t="s">
        <v>20</v>
      </c>
      <c r="H2" s="203"/>
      <c r="I2" s="203"/>
      <c r="J2" s="203" t="s">
        <v>21</v>
      </c>
      <c r="K2" s="203"/>
      <c r="L2" s="203"/>
      <c r="M2" s="203" t="s">
        <v>22</v>
      </c>
      <c r="N2" s="203"/>
      <c r="O2" s="203"/>
      <c r="P2" s="203" t="s">
        <v>23</v>
      </c>
      <c r="Q2" s="203"/>
      <c r="R2" s="203"/>
      <c r="S2" s="203"/>
      <c r="T2" s="203"/>
      <c r="U2" s="203" t="s">
        <v>57</v>
      </c>
      <c r="V2" s="204"/>
      <c r="W2" s="205">
        <f>CONFIGURAR!B14</f>
        <v>2</v>
      </c>
      <c r="Y2" s="207"/>
      <c r="Z2" s="207"/>
    </row>
    <row r="3" spans="1:26" ht="26.25" customHeight="1" x14ac:dyDescent="0.2">
      <c r="J3" s="212"/>
      <c r="K3" s="213"/>
      <c r="L3" s="213"/>
      <c r="M3" s="213"/>
      <c r="N3" s="213"/>
      <c r="O3" s="213"/>
      <c r="P3" s="213"/>
      <c r="Q3" s="213"/>
      <c r="R3" s="213"/>
      <c r="S3" s="213"/>
      <c r="T3" s="213"/>
      <c r="U3" s="213"/>
      <c r="V3" s="213"/>
      <c r="W3" s="213"/>
    </row>
    <row r="4" spans="1:26" s="221" customFormat="1" ht="23.25" customHeight="1" x14ac:dyDescent="0.2">
      <c r="A4" s="216" t="str">
        <f>CONFIGURAR!AD8</f>
        <v>C</v>
      </c>
      <c r="B4" s="217"/>
      <c r="C4" s="218"/>
      <c r="D4" s="219"/>
      <c r="E4" s="220"/>
      <c r="F4" s="220"/>
      <c r="G4" s="219"/>
      <c r="H4" s="220"/>
      <c r="I4" s="220"/>
      <c r="J4" s="213"/>
      <c r="L4" s="213"/>
      <c r="M4" s="213"/>
      <c r="N4" s="213"/>
      <c r="O4" s="213"/>
      <c r="P4" s="213"/>
      <c r="Q4" s="213"/>
      <c r="R4" s="213"/>
      <c r="S4" s="213"/>
      <c r="T4" s="213"/>
      <c r="U4" s="213"/>
      <c r="V4" s="213"/>
      <c r="W4" s="213"/>
    </row>
    <row r="5" spans="1:26" s="221" customFormat="1" ht="23.25" customHeight="1" x14ac:dyDescent="0.2">
      <c r="A5" s="222" t="s">
        <v>0</v>
      </c>
      <c r="B5" s="223">
        <f>CONFIGURAR!$D$18</f>
        <v>0.41666666666666669</v>
      </c>
      <c r="C5" s="224"/>
      <c r="D5" s="216" t="str">
        <f>IF(B4="","Vencedor Jogo 1",IF(B4&gt;B6,A4,A6))</f>
        <v>Vencedor Jogo 1</v>
      </c>
      <c r="E5" s="217"/>
      <c r="F5" s="225"/>
      <c r="G5" s="226"/>
      <c r="H5" s="218"/>
      <c r="I5" s="218"/>
      <c r="J5" s="219"/>
      <c r="K5" s="213"/>
      <c r="L5" s="220"/>
      <c r="M5" s="219"/>
      <c r="N5" s="219"/>
      <c r="O5" s="219"/>
      <c r="P5" s="219"/>
      <c r="Q5" s="219"/>
      <c r="R5" s="219"/>
      <c r="S5" s="220"/>
      <c r="T5" s="220"/>
      <c r="U5" s="219"/>
      <c r="V5" s="227"/>
      <c r="W5" s="219"/>
      <c r="Z5" s="223"/>
    </row>
    <row r="6" spans="1:26" s="221" customFormat="1" ht="23.25" customHeight="1" x14ac:dyDescent="0.2">
      <c r="A6" s="216" t="str">
        <f>CONFIGURAR!AD18</f>
        <v>M</v>
      </c>
      <c r="B6" s="217"/>
      <c r="C6" s="218"/>
      <c r="D6" s="219"/>
      <c r="E6" s="220"/>
      <c r="F6" s="220"/>
      <c r="G6" s="219"/>
      <c r="H6" s="220"/>
      <c r="I6" s="220"/>
      <c r="J6" s="219"/>
      <c r="K6" s="220"/>
      <c r="L6" s="220"/>
      <c r="M6" s="318" t="str">
        <f>IF(CONFIGURAR!$D$11="","",CONFIGURAR!$D$11)</f>
        <v>Xxx Xxxxxxxxxxx</v>
      </c>
      <c r="N6" s="318"/>
      <c r="O6" s="318"/>
      <c r="P6" s="318"/>
      <c r="Q6" s="318"/>
      <c r="R6" s="318"/>
      <c r="S6" s="318"/>
      <c r="T6" s="318"/>
      <c r="U6" s="294">
        <f>IF(CONFIGURAR!$G$10="","",CONFIGURAR!$G$10)</f>
        <v>43523</v>
      </c>
      <c r="V6" s="319">
        <f>IF(CONFIGURAR!$D$10="","",CONFIGURAR!$D$10)</f>
        <v>0.41666666666666669</v>
      </c>
      <c r="W6" s="319"/>
    </row>
    <row r="7" spans="1:26" s="221" customFormat="1" ht="23.25" customHeight="1" x14ac:dyDescent="0.2">
      <c r="A7" s="228"/>
      <c r="B7" s="229"/>
      <c r="C7" s="229"/>
      <c r="D7" s="222" t="s">
        <v>29</v>
      </c>
      <c r="E7" s="223">
        <f>IF(CONFIGURAR!$D$21=1,CONFIGURAR!AD54,IF(CONFIGURAR!$D$21=2,CONFIGURAR!AE54,IF(CONFIGURAR!$D$21=3,CONFIGURAR!AF54,IF(CONFIGURAR!$D$21=4,CONFIGURAR!AG54,IF(CONFIGURAR!$D$21=5,CONFIGURAR!AH54,IF(CONFIGURAR!$D$21=6,CONFIGURAR!AI54,""))))))</f>
        <v>0.46180555555555541</v>
      </c>
      <c r="F7" s="230"/>
      <c r="G7" s="216" t="str">
        <f>IF(E5="","Vencedor Jogo 14",IF(E5&gt;E9,D5,D9))</f>
        <v>Vencedor Jogo 14</v>
      </c>
      <c r="H7" s="217"/>
      <c r="I7" s="225"/>
      <c r="J7" s="219"/>
      <c r="M7" s="322" t="str">
        <f>CONFIGURAR!$D$9</f>
        <v>Xxxxxxx Xxxxxxxxxxxxx</v>
      </c>
      <c r="N7" s="322"/>
      <c r="O7" s="322"/>
      <c r="P7" s="322"/>
      <c r="Q7" s="322"/>
      <c r="R7" s="322"/>
      <c r="S7" s="322"/>
      <c r="T7" s="322"/>
      <c r="U7" s="322"/>
      <c r="V7" s="322"/>
      <c r="W7" s="322"/>
    </row>
    <row r="8" spans="1:26" s="221" customFormat="1" ht="23.25" customHeight="1" x14ac:dyDescent="0.2">
      <c r="A8" s="216" t="str">
        <f>CONFIGURAR!AD21</f>
        <v>P</v>
      </c>
      <c r="B8" s="217"/>
      <c r="C8" s="218"/>
      <c r="D8" s="219"/>
      <c r="E8" s="220"/>
      <c r="F8" s="220"/>
      <c r="I8" s="224"/>
      <c r="M8" s="322"/>
      <c r="N8" s="322"/>
      <c r="O8" s="322"/>
      <c r="P8" s="322"/>
      <c r="Q8" s="322"/>
      <c r="R8" s="322"/>
      <c r="S8" s="322"/>
      <c r="T8" s="322"/>
      <c r="U8" s="322"/>
      <c r="V8" s="322"/>
      <c r="W8" s="322"/>
    </row>
    <row r="9" spans="1:26" s="221" customFormat="1" ht="23.25" customHeight="1" x14ac:dyDescent="0.2">
      <c r="A9" s="222" t="s">
        <v>1</v>
      </c>
      <c r="B9" s="223">
        <f>IF(CONFIGURAR!$D$21=1,CONFIGURAR!AD42,IF(CONFIGURAR!$D$21=2,CONFIGURAR!AE42,IF(CONFIGURAR!$D$21=3,CONFIGURAR!AF42,IF(CONFIGURAR!$D$21=4,CONFIGURAR!AG42,IF(CONFIGURAR!$D$21=5,CONFIGURAR!AH42,IF(CONFIGURAR!$D$21=6,CONFIGURAR!AI42,""))))))</f>
        <v>0.4201388888888889</v>
      </c>
      <c r="C9" s="224"/>
      <c r="D9" s="216" t="str">
        <f>IF(B8="","Vencedor Jogo 2",IF(B8&gt;B10,A8,A10))</f>
        <v>Vencedor Jogo 2</v>
      </c>
      <c r="E9" s="217"/>
      <c r="F9" s="218"/>
      <c r="G9" s="219"/>
      <c r="H9" s="220"/>
      <c r="I9" s="220"/>
      <c r="J9" s="219"/>
      <c r="K9" s="220"/>
      <c r="L9" s="220"/>
      <c r="M9" s="322"/>
      <c r="N9" s="322"/>
      <c r="O9" s="322"/>
      <c r="P9" s="322"/>
      <c r="Q9" s="322"/>
      <c r="R9" s="322"/>
      <c r="S9" s="322"/>
      <c r="T9" s="322"/>
      <c r="U9" s="322"/>
      <c r="V9" s="322"/>
      <c r="W9" s="322"/>
    </row>
    <row r="10" spans="1:26" s="221" customFormat="1" ht="23.25" customHeight="1" x14ac:dyDescent="0.2">
      <c r="A10" s="216" t="str">
        <f>CONFIGURAR!AD13</f>
        <v>H</v>
      </c>
      <c r="B10" s="217"/>
      <c r="C10" s="218"/>
      <c r="D10" s="219"/>
      <c r="E10" s="220"/>
      <c r="F10" s="220"/>
      <c r="G10" s="219"/>
      <c r="H10" s="220"/>
      <c r="I10" s="220"/>
      <c r="J10" s="219"/>
      <c r="K10" s="220"/>
      <c r="L10" s="220"/>
      <c r="M10" s="322"/>
      <c r="N10" s="322"/>
      <c r="O10" s="322"/>
      <c r="P10" s="322"/>
      <c r="Q10" s="322"/>
      <c r="R10" s="322"/>
      <c r="S10" s="322"/>
      <c r="T10" s="322"/>
      <c r="U10" s="322"/>
      <c r="V10" s="322"/>
      <c r="W10" s="322"/>
    </row>
    <row r="11" spans="1:26" s="221" customFormat="1" ht="23.25" customHeight="1" x14ac:dyDescent="0.2">
      <c r="A11" s="228"/>
      <c r="B11" s="229"/>
      <c r="C11" s="229"/>
      <c r="F11" s="224"/>
      <c r="G11" s="222" t="s">
        <v>35</v>
      </c>
      <c r="H11" s="223">
        <f>IF(CONFIGURAR!$D$21=1,CONFIGURAR!AD64,IF(CONFIGURAR!$D$21=2,CONFIGURAR!AE64,IF(CONFIGURAR!$D$21=3,CONFIGURAR!AF64,IF(CONFIGURAR!$D$21=4,CONFIGURAR!AG64,IF(CONFIGURAR!$D$21=5,CONFIGURAR!AH64,IF(CONFIGURAR!$D$21=6,CONFIGURAR!AI64,""))))))</f>
        <v>0.49652777777777751</v>
      </c>
      <c r="I11" s="218"/>
      <c r="L11" s="218"/>
      <c r="M11" s="216" t="str">
        <f>IF(H7="","Vencedor Jogo 24",IF(H7&gt;H15,G7,G15))</f>
        <v>Vencedor Jogo 24</v>
      </c>
      <c r="N11" s="217"/>
      <c r="O11" s="231"/>
      <c r="P11" s="231"/>
      <c r="Q11" s="326" t="str">
        <f>UPPER(CONFIGURAR!$D$12)</f>
        <v>XXXXXXXX</v>
      </c>
      <c r="R11" s="326"/>
      <c r="S11" s="326"/>
      <c r="T11" s="326"/>
      <c r="U11" s="326"/>
      <c r="V11" s="326"/>
      <c r="W11" s="326"/>
      <c r="X11" s="232"/>
    </row>
    <row r="12" spans="1:26" s="221" customFormat="1" ht="23.25" customHeight="1" x14ac:dyDescent="0.2">
      <c r="A12" s="216" t="str">
        <f>CONFIGURAR!AD6</f>
        <v>A</v>
      </c>
      <c r="B12" s="217"/>
      <c r="C12" s="218"/>
      <c r="D12" s="219"/>
      <c r="E12" s="220"/>
      <c r="F12" s="220"/>
      <c r="G12" s="219"/>
      <c r="H12" s="220"/>
      <c r="I12" s="220"/>
      <c r="J12" s="219"/>
      <c r="K12" s="220"/>
      <c r="L12" s="220"/>
      <c r="M12" s="219"/>
      <c r="N12" s="219"/>
      <c r="O12" s="219"/>
      <c r="P12" s="219"/>
      <c r="Q12" s="326"/>
      <c r="R12" s="326"/>
      <c r="S12" s="326"/>
      <c r="T12" s="326"/>
      <c r="U12" s="326"/>
      <c r="V12" s="326"/>
      <c r="W12" s="326"/>
      <c r="X12" s="232"/>
    </row>
    <row r="13" spans="1:26" s="221" customFormat="1" ht="23.25" customHeight="1" x14ac:dyDescent="0.2">
      <c r="A13" s="222" t="s">
        <v>4</v>
      </c>
      <c r="B13" s="223">
        <f>IF(CONFIGURAR!$D$21=1,CONFIGURAR!AD43,IF(CONFIGURAR!$D$21=2,CONFIGURAR!AE43,IF(CONFIGURAR!$D$21=3,CONFIGURAR!AF43,IF(CONFIGURAR!$D$21=4,CONFIGURAR!AG43,IF(CONFIGURAR!$D$21=5,CONFIGURAR!AH43,IF(CONFIGURAR!$D$21=6,CONFIGURAR!AI43,""))))))</f>
        <v>0.4236111111111111</v>
      </c>
      <c r="C13" s="224"/>
      <c r="D13" s="216" t="str">
        <f>IF(B12="","Vencedor Jogo 3",IF(B12&gt;B14,A12,A14))</f>
        <v>Vencedor Jogo 3</v>
      </c>
      <c r="E13" s="217"/>
      <c r="F13" s="218"/>
      <c r="G13" s="219"/>
      <c r="H13" s="220"/>
      <c r="I13" s="220"/>
      <c r="J13" s="233"/>
      <c r="K13" s="220"/>
      <c r="L13" s="220"/>
      <c r="M13" s="219"/>
      <c r="N13" s="219"/>
      <c r="O13" s="219"/>
      <c r="P13" s="219"/>
      <c r="Q13" s="327" t="str">
        <f>IF(W2=1,"FEMININO",IF(W2=2,"MASCULINO",IF(W2=3,"MISTO","")))</f>
        <v>MASCULINO</v>
      </c>
      <c r="R13" s="327"/>
      <c r="S13" s="327"/>
      <c r="T13" s="327"/>
      <c r="U13" s="327"/>
      <c r="V13" s="327"/>
      <c r="W13" s="327"/>
    </row>
    <row r="14" spans="1:26" s="221" customFormat="1" ht="23.25" customHeight="1" x14ac:dyDescent="0.2">
      <c r="A14" s="216" t="str">
        <f>CONFIGURAR!AD12</f>
        <v>G</v>
      </c>
      <c r="B14" s="217"/>
      <c r="C14" s="218"/>
      <c r="D14" s="219"/>
      <c r="E14" s="220"/>
      <c r="F14" s="220"/>
      <c r="G14" s="219"/>
      <c r="H14" s="220"/>
      <c r="I14" s="220"/>
      <c r="J14" s="219"/>
      <c r="K14" s="220"/>
      <c r="L14" s="220"/>
      <c r="M14" s="219"/>
      <c r="N14" s="219"/>
      <c r="O14" s="219"/>
      <c r="P14" s="219"/>
      <c r="Q14" s="327"/>
      <c r="R14" s="327"/>
      <c r="S14" s="327"/>
      <c r="T14" s="327"/>
      <c r="U14" s="327"/>
      <c r="V14" s="327"/>
      <c r="W14" s="327"/>
    </row>
    <row r="15" spans="1:26" s="221" customFormat="1" ht="23.25" customHeight="1" x14ac:dyDescent="0.2">
      <c r="A15" s="228"/>
      <c r="B15" s="229"/>
      <c r="C15" s="229"/>
      <c r="D15" s="222" t="s">
        <v>11</v>
      </c>
      <c r="E15" s="223">
        <f>IF(CONFIGURAR!$D$21=1,CONFIGURAR!AD55,IF(CONFIGURAR!$D$21=2,CONFIGURAR!AE55,IF(CONFIGURAR!$D$21=3,CONFIGURAR!AF55,IF(CONFIGURAR!$D$21=4,CONFIGURAR!AG55,IF(CONFIGURAR!$D$21=5,CONFIGURAR!AH55,IF(CONFIGURAR!$D$21=6,CONFIGURAR!AI55,""))))))</f>
        <v>0.46527777777777762</v>
      </c>
      <c r="F15" s="230"/>
      <c r="G15" s="216" t="str">
        <f>IF(E13="","Vencedor Jogo 15",IF(E13&gt;E17,D13,D17))</f>
        <v>Vencedor Jogo 15</v>
      </c>
      <c r="H15" s="217"/>
      <c r="I15" s="225"/>
      <c r="L15" s="224"/>
      <c r="S15" s="220"/>
      <c r="X15" s="234"/>
    </row>
    <row r="16" spans="1:26" s="221" customFormat="1" ht="23.25" customHeight="1" x14ac:dyDescent="0.2">
      <c r="A16" s="216" t="str">
        <f>CONFIGURAR!AD14</f>
        <v>I</v>
      </c>
      <c r="B16" s="217"/>
      <c r="C16" s="218"/>
      <c r="D16" s="219"/>
      <c r="E16" s="220"/>
      <c r="F16" s="220"/>
      <c r="G16" s="219"/>
      <c r="H16" s="220"/>
      <c r="I16" s="220"/>
      <c r="J16" s="219"/>
      <c r="K16" s="220"/>
      <c r="L16" s="220"/>
      <c r="M16" s="219"/>
      <c r="N16" s="219"/>
      <c r="O16" s="219"/>
      <c r="P16" s="219"/>
      <c r="Q16" s="219"/>
      <c r="R16" s="219"/>
      <c r="S16" s="220"/>
      <c r="T16" s="220"/>
      <c r="U16" s="235"/>
      <c r="V16" s="235"/>
      <c r="W16" s="236"/>
      <c r="X16" s="234"/>
    </row>
    <row r="17" spans="1:27" s="221" customFormat="1" ht="23.25" customHeight="1" x14ac:dyDescent="0.2">
      <c r="A17" s="222" t="s">
        <v>2</v>
      </c>
      <c r="B17" s="223">
        <f>IF(CONFIGURAR!$D$21=1,CONFIGURAR!AD44,IF(CONFIGURAR!$D$21=2,CONFIGURAR!AE44,IF(CONFIGURAR!$D$21=3,CONFIGURAR!AF44,IF(CONFIGURAR!$D$21=4,CONFIGURAR!AG44,IF(CONFIGURAR!$D$21=5,CONFIGURAR!AH44,IF(CONFIGURAR!$D$21=6,CONFIGURAR!AI44,""))))))</f>
        <v>0.42708333333333331</v>
      </c>
      <c r="C17" s="224"/>
      <c r="D17" s="216" t="str">
        <f>IF(B16="","Vencedor Jogo 4",IF(B16&gt;B18,A16,A18))</f>
        <v>Vencedor Jogo 4</v>
      </c>
      <c r="E17" s="217"/>
      <c r="F17" s="218"/>
      <c r="G17" s="219"/>
      <c r="H17" s="220"/>
      <c r="I17" s="220"/>
      <c r="J17" s="237"/>
      <c r="K17" s="224"/>
      <c r="L17" s="220"/>
      <c r="S17" s="238"/>
      <c r="T17" s="325" t="str">
        <f>IF(W37&lt;W40,U40,IF(W37&gt;W40,U37,(IF(V37="","Vencedor da Final",IF(V37&gt;V40,U37,IF(V37&lt;V40,"Vencedor Finalíssima",U37))))))</f>
        <v>Vencedor da Final</v>
      </c>
      <c r="U17" s="325"/>
      <c r="V17" s="325"/>
      <c r="W17" s="325"/>
      <c r="X17" s="234"/>
    </row>
    <row r="18" spans="1:27" s="221" customFormat="1" ht="23.25" customHeight="1" x14ac:dyDescent="0.2">
      <c r="A18" s="216" t="str">
        <f>CONFIGURAR!AD15</f>
        <v>J</v>
      </c>
      <c r="B18" s="217"/>
      <c r="C18" s="218"/>
      <c r="D18" s="219"/>
      <c r="E18" s="220"/>
      <c r="F18" s="220"/>
      <c r="G18" s="219"/>
      <c r="H18" s="220"/>
      <c r="K18" s="220"/>
      <c r="L18" s="220"/>
      <c r="O18" s="219"/>
      <c r="P18" s="219"/>
      <c r="Q18" s="219"/>
      <c r="R18" s="219"/>
      <c r="S18" s="220"/>
      <c r="T18" s="325"/>
      <c r="U18" s="325"/>
      <c r="V18" s="325"/>
      <c r="W18" s="325"/>
    </row>
    <row r="19" spans="1:27" s="221" customFormat="1" ht="23.25" customHeight="1" x14ac:dyDescent="0.2">
      <c r="A19" s="228"/>
      <c r="B19" s="229"/>
      <c r="C19" s="229"/>
      <c r="F19" s="224"/>
      <c r="H19" s="218"/>
      <c r="J19" s="239"/>
      <c r="K19" s="230"/>
      <c r="L19" s="230"/>
      <c r="M19" s="226"/>
      <c r="N19" s="226"/>
      <c r="O19" s="226"/>
      <c r="P19" s="226"/>
      <c r="Q19" s="226"/>
      <c r="R19" s="226"/>
      <c r="S19" s="225"/>
      <c r="T19" s="325"/>
      <c r="U19" s="325"/>
      <c r="V19" s="325"/>
      <c r="W19" s="325"/>
    </row>
    <row r="20" spans="1:27" s="221" customFormat="1" ht="23.25" customHeight="1" x14ac:dyDescent="0.2">
      <c r="A20" s="216" t="str">
        <f>CONFIGURAR!AD7</f>
        <v>B</v>
      </c>
      <c r="B20" s="217"/>
      <c r="C20" s="218"/>
      <c r="D20" s="219"/>
      <c r="E20" s="220"/>
      <c r="F20" s="220"/>
      <c r="G20" s="219"/>
      <c r="H20" s="220"/>
      <c r="I20" s="220"/>
      <c r="J20" s="219"/>
      <c r="K20" s="220"/>
      <c r="L20" s="220"/>
      <c r="M20" s="222" t="s">
        <v>43</v>
      </c>
      <c r="N20" s="223">
        <f>IF(CONFIGURAR!$D$21=1,CONFIGURAR!AD72,IF(CONFIGURAR!$D$21=2,CONFIGURAR!AE72,IF(CONFIGURAR!$D$21=3,CONFIGURAR!AF72,IF(CONFIGURAR!$D$21=4,CONFIGURAR!AG72+CONFIGURAR!$D$19+CONFIGURAR!$D$20,IF(CONFIGURAR!$D$21=5,CONFIGURAR!AH72,IF(CONFIGURAR!$D$21=6,CONFIGURAR!AI72+CONFIGURAR!$D$19+CONFIGURAR!$D$20,""))))))</f>
        <v>0.52430555555555525</v>
      </c>
    </row>
    <row r="21" spans="1:27" s="221" customFormat="1" ht="23.25" customHeight="1" x14ac:dyDescent="0.2">
      <c r="A21" s="222" t="s">
        <v>5</v>
      </c>
      <c r="B21" s="223">
        <f>IF(CONFIGURAR!$D$21=1,CONFIGURAR!AD45,IF(CONFIGURAR!$D$21=2,CONFIGURAR!AE45,IF(CONFIGURAR!$D$21=3,CONFIGURAR!AF45,IF(CONFIGURAR!$D$21=4,CONFIGURAR!AG45,IF(CONFIGURAR!$D$21=5,CONFIGURAR!AH45,IF(CONFIGURAR!$D$21=6,CONFIGURAR!AI45,""))))))</f>
        <v>0.43055555555555552</v>
      </c>
      <c r="C21" s="224"/>
      <c r="D21" s="216" t="str">
        <f>IF(B20="","Vencedor Jogo 5",IF(B20&gt;B22,A20,A22))</f>
        <v>Vencedor Jogo 5</v>
      </c>
      <c r="E21" s="217"/>
      <c r="F21" s="218"/>
      <c r="G21" s="219"/>
      <c r="H21" s="220"/>
      <c r="I21" s="220"/>
      <c r="J21" s="219"/>
      <c r="K21" s="220"/>
      <c r="L21" s="220"/>
      <c r="X21" s="234"/>
    </row>
    <row r="22" spans="1:27" s="221" customFormat="1" ht="23.25" customHeight="1" x14ac:dyDescent="0.2">
      <c r="A22" s="216" t="str">
        <f>CONFIGURAR!AD17</f>
        <v>L</v>
      </c>
      <c r="B22" s="217"/>
      <c r="C22" s="218"/>
      <c r="D22" s="219"/>
      <c r="E22" s="220"/>
      <c r="F22" s="220"/>
      <c r="G22" s="237"/>
      <c r="H22" s="224"/>
      <c r="I22" s="220"/>
      <c r="J22" s="219"/>
      <c r="K22" s="220"/>
      <c r="L22" s="220"/>
      <c r="M22" s="219"/>
      <c r="N22" s="219"/>
      <c r="O22" s="219"/>
      <c r="P22" s="219"/>
      <c r="Q22" s="219"/>
      <c r="R22" s="219"/>
      <c r="S22" s="220"/>
      <c r="T22" s="220"/>
      <c r="U22" s="219"/>
      <c r="V22" s="219"/>
      <c r="W22" s="220"/>
      <c r="X22" s="234"/>
    </row>
    <row r="23" spans="1:27" s="221" customFormat="1" ht="23.25" customHeight="1" x14ac:dyDescent="0.2">
      <c r="A23" s="228"/>
      <c r="B23" s="229"/>
      <c r="C23" s="229"/>
      <c r="D23" s="222" t="s">
        <v>12</v>
      </c>
      <c r="E23" s="223">
        <f>IF(CONFIGURAR!$D$21=1,CONFIGURAR!AD56,IF(CONFIGURAR!$D$21=2,CONFIGURAR!AE56,IF(CONFIGURAR!$D$21=3,CONFIGURAR!AF56,IF(CONFIGURAR!$D$21=4,CONFIGURAR!AG56,IF(CONFIGURAR!$D$21=5,CONFIGURAR!AH56,IF(CONFIGURAR!$D$21=6,CONFIGURAR!AI56,""))))))</f>
        <v>0.46874999999999983</v>
      </c>
      <c r="F23" s="230"/>
      <c r="I23" s="240"/>
      <c r="J23" s="216" t="str">
        <f>IF(E21="","Vencedor Jogo 16",IF(E21&gt;E25,D21,D25))</f>
        <v>Vencedor Jogo 16</v>
      </c>
      <c r="K23" s="217"/>
      <c r="L23" s="218"/>
      <c r="M23" s="219"/>
      <c r="N23" s="219"/>
      <c r="O23" s="219"/>
      <c r="P23" s="219"/>
      <c r="Q23" s="219"/>
      <c r="R23" s="219"/>
      <c r="S23" s="220"/>
      <c r="T23" s="320" t="str">
        <f>IF(W37&lt;W40,U37,IF(W37&gt;W40,U40,IF(V37="","Derrotado da Final",IF(V37&lt;V40,"Derrotado Finalíssima",IF(V37&lt;V40,U37,U40)))))</f>
        <v>Derrotado da Final</v>
      </c>
      <c r="U23" s="320"/>
      <c r="V23" s="320"/>
      <c r="W23" s="320"/>
      <c r="X23" s="234"/>
    </row>
    <row r="24" spans="1:27" s="221" customFormat="1" ht="23.25" customHeight="1" x14ac:dyDescent="0.2">
      <c r="A24" s="216" t="str">
        <f>CONFIGURAR!AD11</f>
        <v>F</v>
      </c>
      <c r="B24" s="217"/>
      <c r="C24" s="218"/>
      <c r="D24" s="219"/>
      <c r="E24" s="220"/>
      <c r="F24" s="220"/>
      <c r="G24" s="219"/>
      <c r="H24" s="220"/>
      <c r="I24" s="220"/>
      <c r="J24" s="219"/>
      <c r="K24" s="220"/>
      <c r="L24" s="220"/>
      <c r="M24" s="219"/>
      <c r="N24" s="219"/>
      <c r="O24" s="219"/>
      <c r="P24" s="219"/>
      <c r="Q24" s="219"/>
      <c r="R24" s="219"/>
      <c r="S24" s="220"/>
      <c r="T24" s="320"/>
      <c r="U24" s="320"/>
      <c r="V24" s="320"/>
      <c r="W24" s="320"/>
      <c r="X24" s="234"/>
      <c r="AA24" s="234"/>
    </row>
    <row r="25" spans="1:27" s="221" customFormat="1" ht="23.25" customHeight="1" x14ac:dyDescent="0.2">
      <c r="A25" s="222" t="s">
        <v>3</v>
      </c>
      <c r="B25" s="223">
        <f>IF(CONFIGURAR!$D$21=1,CONFIGURAR!AD46,IF(CONFIGURAR!$D$21=2,CONFIGURAR!AE46,IF(CONFIGURAR!$D$21=3,CONFIGURAR!AF46,IF(CONFIGURAR!$D$21=4,CONFIGURAR!AG46,IF(CONFIGURAR!$D$21=5,CONFIGURAR!AH46,IF(CONFIGURAR!$D$21=6,CONFIGURAR!AI46,""))))))</f>
        <v>0.43402777777777773</v>
      </c>
      <c r="C25" s="224"/>
      <c r="D25" s="216" t="str">
        <f>IF(B24="","Vencedor Jogo 6",IF(B24&gt;B26,A24,A26))</f>
        <v>Vencedor Jogo 6</v>
      </c>
      <c r="E25" s="217"/>
      <c r="F25" s="218"/>
      <c r="G25" s="219"/>
      <c r="H25" s="220"/>
      <c r="I25" s="220"/>
      <c r="J25" s="219"/>
      <c r="K25" s="220"/>
      <c r="L25" s="220"/>
      <c r="M25" s="219"/>
      <c r="N25" s="219"/>
      <c r="O25" s="219"/>
      <c r="P25" s="219"/>
      <c r="Q25" s="219"/>
      <c r="R25" s="219"/>
      <c r="S25" s="220"/>
      <c r="T25" s="220"/>
      <c r="X25" s="234"/>
      <c r="AA25" s="234"/>
    </row>
    <row r="26" spans="1:27" s="221" customFormat="1" ht="23.25" customHeight="1" x14ac:dyDescent="0.2">
      <c r="A26" s="216" t="str">
        <f>CONFIGURAR!AD23</f>
        <v>R</v>
      </c>
      <c r="B26" s="217"/>
      <c r="C26" s="218"/>
      <c r="D26" s="219"/>
      <c r="E26" s="220"/>
      <c r="F26" s="220"/>
      <c r="G26" s="219"/>
      <c r="H26" s="220"/>
      <c r="I26" s="220"/>
      <c r="J26" s="219"/>
      <c r="K26" s="220"/>
      <c r="L26" s="220"/>
      <c r="M26" s="219"/>
      <c r="N26" s="219"/>
      <c r="O26" s="219"/>
      <c r="P26" s="219"/>
      <c r="Q26" s="219"/>
      <c r="R26" s="219"/>
      <c r="S26" s="220"/>
      <c r="T26" s="220"/>
      <c r="W26" s="241"/>
      <c r="X26" s="234"/>
      <c r="AA26" s="234"/>
    </row>
    <row r="27" spans="1:27" s="221" customFormat="1" ht="23.25" customHeight="1" x14ac:dyDescent="0.2">
      <c r="A27" s="242"/>
      <c r="B27" s="218"/>
      <c r="C27" s="218"/>
      <c r="D27" s="219"/>
      <c r="E27" s="220"/>
      <c r="F27" s="220"/>
      <c r="G27" s="243"/>
      <c r="H27" s="220"/>
      <c r="I27" s="220"/>
      <c r="L27" s="220"/>
      <c r="N27" s="219"/>
      <c r="O27" s="219"/>
      <c r="P27" s="219"/>
      <c r="Q27" s="219"/>
      <c r="R27" s="219"/>
      <c r="S27" s="220"/>
      <c r="T27" s="220"/>
      <c r="U27" s="244"/>
      <c r="V27" s="241"/>
      <c r="W27" s="241"/>
      <c r="X27" s="234"/>
      <c r="AA27" s="234"/>
    </row>
    <row r="28" spans="1:27" s="221" customFormat="1" ht="23.25" customHeight="1" x14ac:dyDescent="0.2">
      <c r="A28" s="216" t="str">
        <f>CONFIGURAR!AD19</f>
        <v>N</v>
      </c>
      <c r="B28" s="217"/>
      <c r="C28" s="218"/>
      <c r="D28" s="219"/>
      <c r="E28" s="220"/>
      <c r="F28" s="220"/>
      <c r="G28" s="219"/>
      <c r="H28" s="220"/>
      <c r="I28" s="220"/>
      <c r="J28" s="213"/>
      <c r="K28" s="213"/>
      <c r="L28" s="213"/>
      <c r="N28" s="219"/>
      <c r="O28" s="219"/>
      <c r="P28" s="219"/>
      <c r="Q28" s="219"/>
      <c r="R28" s="219"/>
      <c r="S28" s="220"/>
      <c r="T28" s="321" t="str">
        <f>IF(Q48="","Derrotado Jogo 35",IF(Q48&lt;Q56,P48,P56))</f>
        <v>Derrotado Jogo 35</v>
      </c>
      <c r="U28" s="321" t="str">
        <f>IF(Q7="","1º Finalista",IF(Q7&gt;K20,J8,J20))</f>
        <v>1º Finalista</v>
      </c>
      <c r="V28" s="321" t="str">
        <f>IF(R7="","1º Finalista",IF(R7&gt;L20,Q7,K20))</f>
        <v>1º Finalista</v>
      </c>
      <c r="W28" s="321" t="str">
        <f>IF(S7="","1º Finalista",IF(S7&gt;#REF!,R7,L20))</f>
        <v>1º Finalista</v>
      </c>
      <c r="X28" s="234"/>
      <c r="AA28" s="234"/>
    </row>
    <row r="29" spans="1:27" s="221" customFormat="1" ht="23.25" customHeight="1" x14ac:dyDescent="0.2">
      <c r="A29" s="222" t="s">
        <v>9</v>
      </c>
      <c r="B29" s="223">
        <f>IF(CONFIGURAR!$D$21=1,CONFIGURAR!AD47,IF(CONFIGURAR!$D$21=2,CONFIGURAR!AE47,IF(CONFIGURAR!$D$21=3,CONFIGURAR!AF47,IF(CONFIGURAR!$D$21=4,CONFIGURAR!AG47,IF(CONFIGURAR!$D$21=5,CONFIGURAR!AH47,IF(CONFIGURAR!$D$21=6,CONFIGURAR!AI47,""))))))</f>
        <v>0.43749999999999994</v>
      </c>
      <c r="C29" s="224"/>
      <c r="D29" s="216" t="str">
        <f>IF(B28="","Vencedor Jogo 7",IF(B28&gt;B30,A28,A30))</f>
        <v>Vencedor Jogo 7</v>
      </c>
      <c r="E29" s="217"/>
      <c r="F29" s="225"/>
      <c r="G29" s="226"/>
      <c r="H29" s="218"/>
      <c r="I29" s="218"/>
      <c r="J29" s="222" t="s">
        <v>40</v>
      </c>
      <c r="K29" s="223">
        <f>IF(CONFIGURAR!$D$21=1,CONFIGURAR!AD69,IF(CONFIGURAR!$D$21=2,CONFIGURAR!AE69,IF(CONFIGURAR!$D$21=3,CONFIGURAR!AF69,IF(CONFIGURAR!$D$21=4,CONFIGURAR!AG69,IF(CONFIGURAR!$D$21=5,CONFIGURAR!AH69,IF(CONFIGURAR!$D$21=6,CONFIGURAR!AI69+CONFIGURAR!$D$19+CONFIGURAR!$D$20,""))))))</f>
        <v>0.51388888888888862</v>
      </c>
      <c r="L29" s="220"/>
      <c r="M29" s="216" t="str">
        <f>IF(K23="","Vencedor Jogo 29",IF(K23&gt;K35,J23,J35))</f>
        <v>Vencedor Jogo 29</v>
      </c>
      <c r="N29" s="217"/>
      <c r="O29" s="219"/>
      <c r="P29" s="219"/>
      <c r="Q29" s="219"/>
      <c r="R29" s="219"/>
      <c r="S29" s="220"/>
      <c r="T29" s="321" t="str">
        <f>IF(J9="","1º Finalista",IF(J9&gt;J21,I9,I21))</f>
        <v>1º Finalista</v>
      </c>
      <c r="U29" s="321" t="str">
        <f>IF(K9="","1º Finalista",IF(K9&gt;K21,J9,J21))</f>
        <v>1º Finalista</v>
      </c>
      <c r="V29" s="321" t="str">
        <f>IF(L9="","1º Finalista",IF(L9&gt;L21,K9,K21))</f>
        <v>1º Finalista</v>
      </c>
      <c r="W29" s="321" t="str">
        <f>IF(M9="","1º Finalista",IF(M9&gt;M21,L9,L21))</f>
        <v>1º Finalista</v>
      </c>
      <c r="X29" s="234"/>
      <c r="AA29" s="234"/>
    </row>
    <row r="30" spans="1:27" s="221" customFormat="1" ht="23.25" customHeight="1" x14ac:dyDescent="0.2">
      <c r="A30" s="216" t="str">
        <f>CONFIGURAR!AD10</f>
        <v>E</v>
      </c>
      <c r="B30" s="217"/>
      <c r="C30" s="218"/>
      <c r="D30" s="219"/>
      <c r="E30" s="220"/>
      <c r="F30" s="220"/>
      <c r="G30" s="219"/>
      <c r="H30" s="220"/>
      <c r="I30" s="220"/>
      <c r="K30" s="245"/>
      <c r="L30" s="220"/>
      <c r="O30" s="219"/>
      <c r="R30" s="219"/>
      <c r="S30" s="220"/>
      <c r="T30" s="220"/>
      <c r="U30" s="244"/>
      <c r="V30" s="241"/>
      <c r="W30" s="241"/>
      <c r="X30" s="234"/>
      <c r="AA30" s="234"/>
    </row>
    <row r="31" spans="1:27" s="221" customFormat="1" ht="23.25" customHeight="1" x14ac:dyDescent="0.2">
      <c r="A31" s="228"/>
      <c r="B31" s="229"/>
      <c r="C31" s="229"/>
      <c r="D31" s="222" t="s">
        <v>33</v>
      </c>
      <c r="E31" s="223">
        <f>IF(CONFIGURAR!$D$21=1,CONFIGURAR!AD57,IF(CONFIGURAR!$D$21=2,CONFIGURAR!AE57,IF(CONFIGURAR!$D$21=3,CONFIGURAR!AF57,IF(CONFIGURAR!$D$21=4,CONFIGURAR!AG57,IF(CONFIGURAR!$D$21=5,CONFIGURAR!AH57,IF(CONFIGURAR!$D$21=6,CONFIGURAR!AI57,""))))))</f>
        <v>0.47222222222222204</v>
      </c>
      <c r="F31" s="230"/>
      <c r="G31" s="216" t="str">
        <f>IF(E29="","Vencedor Jogo 17",IF(E29&gt;E33,D29,D33))</f>
        <v>Vencedor Jogo 17</v>
      </c>
      <c r="H31" s="217"/>
      <c r="I31" s="225"/>
      <c r="J31" s="219"/>
      <c r="K31" s="220"/>
      <c r="L31" s="220"/>
      <c r="N31" s="219"/>
      <c r="O31" s="219"/>
      <c r="R31" s="219"/>
      <c r="S31" s="220"/>
      <c r="T31" s="220"/>
      <c r="U31" s="244"/>
      <c r="V31" s="241"/>
      <c r="W31" s="241"/>
      <c r="X31" s="234"/>
      <c r="AA31" s="234"/>
    </row>
    <row r="32" spans="1:27" s="221" customFormat="1" ht="23.25" customHeight="1" x14ac:dyDescent="0.2">
      <c r="A32" s="216" t="str">
        <f>CONFIGURAR!AD24</f>
        <v>S</v>
      </c>
      <c r="B32" s="217"/>
      <c r="C32" s="218"/>
      <c r="D32" s="219"/>
      <c r="E32" s="220"/>
      <c r="F32" s="220"/>
      <c r="I32" s="224"/>
      <c r="N32" s="219"/>
      <c r="O32" s="219"/>
      <c r="P32" s="219"/>
      <c r="Q32" s="219"/>
      <c r="R32" s="219"/>
      <c r="S32" s="220"/>
      <c r="X32" s="234"/>
      <c r="AA32" s="234"/>
    </row>
    <row r="33" spans="1:27" s="221" customFormat="1" ht="23.25" customHeight="1" x14ac:dyDescent="0.2">
      <c r="A33" s="222" t="s">
        <v>27</v>
      </c>
      <c r="B33" s="223">
        <f>IF(CONFIGURAR!$D$21=1,CONFIGURAR!AD48,IF(CONFIGURAR!$D$21=2,CONFIGURAR!AE48,IF(CONFIGURAR!$D$21=3,CONFIGURAR!AF48,IF(CONFIGURAR!$D$21=4,CONFIGURAR!AG48,IF(CONFIGURAR!$D$21=5,CONFIGURAR!AH48,IF(CONFIGURAR!$D$21=6,CONFIGURAR!AI48,""))))))</f>
        <v>0.44097222222222215</v>
      </c>
      <c r="C33" s="224"/>
      <c r="D33" s="216" t="str">
        <f>IF(B32="","Vencedor Jogo 8",IF(B32&gt;B34,A32,A34))</f>
        <v>Vencedor Jogo 8</v>
      </c>
      <c r="E33" s="217"/>
      <c r="F33" s="218"/>
      <c r="G33" s="219"/>
      <c r="H33" s="220"/>
      <c r="I33" s="220"/>
      <c r="J33" s="219"/>
      <c r="K33" s="220"/>
      <c r="L33" s="220"/>
      <c r="N33" s="219"/>
      <c r="O33" s="219"/>
      <c r="P33" s="219"/>
      <c r="Q33" s="219"/>
      <c r="R33" s="219"/>
      <c r="S33" s="220"/>
      <c r="X33" s="234"/>
      <c r="AA33" s="234"/>
    </row>
    <row r="34" spans="1:27" s="221" customFormat="1" ht="23.25" customHeight="1" x14ac:dyDescent="0.2">
      <c r="A34" s="216" t="str">
        <f>CONFIGURAR!AD20</f>
        <v>O</v>
      </c>
      <c r="B34" s="217"/>
      <c r="C34" s="218"/>
      <c r="D34" s="219"/>
      <c r="E34" s="220"/>
      <c r="F34" s="220"/>
      <c r="G34" s="219"/>
      <c r="H34" s="220"/>
      <c r="I34" s="220"/>
      <c r="J34" s="219"/>
      <c r="K34" s="220"/>
      <c r="L34" s="220"/>
      <c r="N34" s="219"/>
      <c r="O34" s="219"/>
      <c r="P34" s="219"/>
      <c r="Q34" s="219"/>
      <c r="R34" s="219"/>
      <c r="S34" s="220"/>
      <c r="X34" s="234"/>
      <c r="AA34" s="234"/>
    </row>
    <row r="35" spans="1:27" s="221" customFormat="1" ht="23.25" customHeight="1" x14ac:dyDescent="0.2">
      <c r="A35" s="228"/>
      <c r="B35" s="229"/>
      <c r="C35" s="229"/>
      <c r="F35" s="224"/>
      <c r="G35" s="222" t="s">
        <v>36</v>
      </c>
      <c r="H35" s="223">
        <f>IF(CONFIGURAR!$D$21=1,CONFIGURAR!AD65,IF(CONFIGURAR!$D$21=2,CONFIGURAR!AE65,IF(CONFIGURAR!$D$21=3,CONFIGURAR!AF65,IF(CONFIGURAR!$D$21=4,CONFIGURAR!AG65,IF(CONFIGURAR!$D$21=5,CONFIGURAR!AH65,IF(CONFIGURAR!$D$21=6,CONFIGURAR!AI65,""))))))</f>
        <v>0.49999999999999972</v>
      </c>
      <c r="I35" s="218"/>
      <c r="J35" s="216" t="str">
        <f>IF(H31="","Vencedor Jogo 25",IF(H31&gt;H39,G31,G39))</f>
        <v>Vencedor Jogo 25</v>
      </c>
      <c r="K35" s="217"/>
      <c r="L35" s="218"/>
      <c r="N35" s="219"/>
      <c r="O35" s="219"/>
      <c r="P35" s="219"/>
      <c r="Q35" s="219"/>
      <c r="R35" s="219"/>
      <c r="S35" s="220"/>
      <c r="T35" s="220"/>
      <c r="U35" s="244"/>
      <c r="V35" s="241"/>
      <c r="W35" s="241"/>
      <c r="X35" s="234"/>
      <c r="AA35" s="234"/>
    </row>
    <row r="36" spans="1:27" s="221" customFormat="1" ht="23.25" customHeight="1" x14ac:dyDescent="0.2">
      <c r="A36" s="216" t="str">
        <f>CONFIGURAR!AD16</f>
        <v>K</v>
      </c>
      <c r="B36" s="217"/>
      <c r="C36" s="218"/>
      <c r="D36" s="219"/>
      <c r="E36" s="220"/>
      <c r="F36" s="220"/>
      <c r="G36" s="219"/>
      <c r="H36" s="220"/>
      <c r="I36" s="220"/>
      <c r="J36" s="219"/>
      <c r="K36" s="220"/>
      <c r="L36" s="220"/>
      <c r="N36" s="219"/>
      <c r="O36" s="219"/>
      <c r="Q36" s="219"/>
      <c r="R36" s="219"/>
      <c r="S36" s="220"/>
      <c r="T36" s="220"/>
      <c r="U36" s="246" t="s">
        <v>31</v>
      </c>
      <c r="V36" s="218">
        <v>36</v>
      </c>
      <c r="W36" s="247">
        <v>37</v>
      </c>
      <c r="X36" s="234"/>
      <c r="AA36" s="234"/>
    </row>
    <row r="37" spans="1:27" s="221" customFormat="1" ht="23.25" customHeight="1" x14ac:dyDescent="0.2">
      <c r="A37" s="222" t="s">
        <v>28</v>
      </c>
      <c r="B37" s="223">
        <f>IF(CONFIGURAR!$D$21=1,CONFIGURAR!AD49,IF(CONFIGURAR!$D$21=2,CONFIGURAR!AE49,IF(CONFIGURAR!$D$21=3,CONFIGURAR!AF49,IF(CONFIGURAR!$D$21=4,CONFIGURAR!AG49,IF(CONFIGURAR!$D$21=5,CONFIGURAR!AH49,IF(CONFIGURAR!$D$21=6,CONFIGURAR!AI49,""))))))</f>
        <v>0.44444444444444436</v>
      </c>
      <c r="C37" s="224"/>
      <c r="D37" s="216" t="str">
        <f>IF(B36="","Vencedor Jogo 9",IF(B36&gt;B38,A36,A38))</f>
        <v>Vencedor Jogo 9</v>
      </c>
      <c r="E37" s="217"/>
      <c r="F37" s="218"/>
      <c r="G37" s="219"/>
      <c r="H37" s="220"/>
      <c r="I37" s="220"/>
      <c r="J37" s="233"/>
      <c r="K37" s="220"/>
      <c r="L37" s="220"/>
      <c r="N37" s="219"/>
      <c r="O37" s="219"/>
      <c r="Q37" s="219"/>
      <c r="R37" s="219"/>
      <c r="S37" s="220"/>
      <c r="T37" s="220"/>
      <c r="U37" s="248" t="str">
        <f>IF(N11="","1º Finalista",IF(N11&gt;N29,M11,M29))</f>
        <v>1º Finalista</v>
      </c>
      <c r="V37" s="217"/>
      <c r="W37" s="249"/>
      <c r="X37" s="234"/>
      <c r="AA37" s="234"/>
    </row>
    <row r="38" spans="1:27" s="221" customFormat="1" ht="23.25" customHeight="1" x14ac:dyDescent="0.2">
      <c r="A38" s="216" t="str">
        <f>CONFIGURAR!AD9</f>
        <v>D</v>
      </c>
      <c r="B38" s="217"/>
      <c r="C38" s="218"/>
      <c r="D38" s="219"/>
      <c r="E38" s="220"/>
      <c r="F38" s="220"/>
      <c r="G38" s="219"/>
      <c r="H38" s="220"/>
      <c r="I38" s="220"/>
      <c r="J38" s="219"/>
      <c r="K38" s="220"/>
      <c r="L38" s="220"/>
      <c r="N38" s="219"/>
      <c r="O38" s="219"/>
      <c r="Q38" s="219"/>
      <c r="R38" s="219"/>
      <c r="S38" s="220"/>
      <c r="T38" s="220"/>
      <c r="U38" s="323" t="s">
        <v>30</v>
      </c>
      <c r="V38" s="328">
        <f>Q52+CONFIGURAR!$D$19+CONFIGURAR!$D$20</f>
        <v>0.53819444444444409</v>
      </c>
      <c r="W38" s="328"/>
      <c r="X38" s="234"/>
    </row>
    <row r="39" spans="1:27" s="221" customFormat="1" ht="23.25" customHeight="1" x14ac:dyDescent="0.2">
      <c r="A39" s="228"/>
      <c r="B39" s="229"/>
      <c r="C39" s="229"/>
      <c r="D39" s="222" t="s">
        <v>13</v>
      </c>
      <c r="E39" s="223">
        <f>IF(CONFIGURAR!$D$21=1,CONFIGURAR!AD58,IF(CONFIGURAR!$D$21=2,CONFIGURAR!AE58,IF(CONFIGURAR!$D$21=3,CONFIGURAR!AF58,IF(CONFIGURAR!$D$21=4,CONFIGURAR!AG58,IF(CONFIGURAR!$D$21=5,CONFIGURAR!AH58,IF(CONFIGURAR!$D$21=6,CONFIGURAR!AI58,""))))))</f>
        <v>0.47569444444444425</v>
      </c>
      <c r="F39" s="230"/>
      <c r="G39" s="216" t="str">
        <f>IF(E37="","Vencedor Jogo 18",IF(E37&gt;E40,D37,D40))</f>
        <v>Vencedor Jogo 18</v>
      </c>
      <c r="H39" s="217"/>
      <c r="I39" s="225"/>
      <c r="L39" s="224"/>
      <c r="N39" s="219"/>
      <c r="O39" s="219"/>
      <c r="Q39" s="219"/>
      <c r="R39" s="219"/>
      <c r="S39" s="220"/>
      <c r="T39" s="220"/>
      <c r="U39" s="323"/>
      <c r="V39" s="328"/>
      <c r="W39" s="328"/>
      <c r="X39" s="234"/>
    </row>
    <row r="40" spans="1:27" s="221" customFormat="1" ht="23.25" customHeight="1" x14ac:dyDescent="0.2">
      <c r="A40" s="216" t="str">
        <f>CONFIGURAR!AD22</f>
        <v>Q</v>
      </c>
      <c r="B40" s="250"/>
      <c r="C40" s="218"/>
      <c r="D40" s="216" t="str">
        <f>A40</f>
        <v>Q</v>
      </c>
      <c r="E40" s="217"/>
      <c r="F40" s="220"/>
      <c r="G40" s="219"/>
      <c r="H40" s="220"/>
      <c r="I40" s="220"/>
      <c r="J40" s="219"/>
      <c r="K40" s="220"/>
      <c r="L40" s="220"/>
      <c r="M40" s="219"/>
      <c r="N40" s="219"/>
      <c r="O40" s="219"/>
      <c r="Q40" s="219"/>
      <c r="R40" s="219"/>
      <c r="S40" s="219"/>
      <c r="T40" s="220"/>
      <c r="U40" s="251" t="str">
        <f>IF(Q48="","2º Finalista",IF(Q48&gt;Q56,P48,P56))</f>
        <v>2º Finalista</v>
      </c>
      <c r="V40" s="252"/>
      <c r="W40" s="253"/>
      <c r="X40" s="234"/>
      <c r="Z40" s="223"/>
      <c r="AA40" s="234"/>
    </row>
    <row r="41" spans="1:27" s="221" customFormat="1" ht="23.25" customHeight="1" x14ac:dyDescent="0.2">
      <c r="A41" s="237"/>
      <c r="B41" s="224"/>
      <c r="C41" s="224"/>
      <c r="F41" s="218"/>
      <c r="G41" s="219"/>
      <c r="H41" s="220"/>
      <c r="I41" s="220"/>
      <c r="J41" s="237"/>
      <c r="K41" s="224"/>
      <c r="L41" s="220"/>
      <c r="M41" s="219"/>
      <c r="N41" s="219"/>
      <c r="O41" s="219"/>
      <c r="Q41" s="219"/>
      <c r="R41" s="219"/>
      <c r="S41" s="219"/>
      <c r="T41" s="220"/>
      <c r="U41" s="244"/>
      <c r="V41" s="241"/>
      <c r="W41" s="241"/>
      <c r="X41" s="234"/>
      <c r="Z41" s="223"/>
      <c r="AA41" s="234"/>
    </row>
    <row r="42" spans="1:27" s="221" customFormat="1" ht="23.25" customHeight="1" x14ac:dyDescent="0.2">
      <c r="A42" s="242"/>
      <c r="B42" s="218"/>
      <c r="C42" s="218"/>
      <c r="D42" s="254" t="str">
        <f>IF(E5="","Derrotado Jogo 14",IF(E5&gt;E9,D9,D5))</f>
        <v>Derrotado Jogo 14</v>
      </c>
      <c r="E42" s="252"/>
      <c r="F42" s="220"/>
      <c r="G42" s="219"/>
      <c r="H42" s="220"/>
      <c r="I42" s="220"/>
      <c r="J42" s="219"/>
      <c r="K42" s="220"/>
      <c r="L42" s="220"/>
      <c r="M42" s="219"/>
      <c r="N42" s="219"/>
      <c r="O42" s="219"/>
      <c r="P42" s="219"/>
      <c r="Q42" s="219"/>
      <c r="R42" s="219"/>
      <c r="S42" s="220"/>
      <c r="X42" s="234"/>
    </row>
    <row r="43" spans="1:27" s="221" customFormat="1" ht="23.25" customHeight="1" x14ac:dyDescent="0.2">
      <c r="A43" s="254" t="str">
        <f>IF(B4="","Derrotado do jogo 1",(IF(B4&gt;B6,A6,A4)))</f>
        <v>Derrotado do jogo 1</v>
      </c>
      <c r="B43" s="252"/>
      <c r="C43" s="247"/>
      <c r="D43" s="222" t="s">
        <v>14</v>
      </c>
      <c r="E43" s="223">
        <f>IF(CONFIGURAR!$D$21=1,CONFIGURAR!AD59,IF(CONFIGURAR!$D$21=2,CONFIGURAR!AE59,IF(CONFIGURAR!$D$21=3,CONFIGURAR!AF59,IF(CONFIGURAR!$D$21=4,CONFIGURAR!AG59,IF(CONFIGURAR!$D$21=5,CONFIGURAR!AH59,IF(CONFIGURAR!$D$21=6,CONFIGURAR!AI59,""))))))</f>
        <v>0.47916666666666646</v>
      </c>
      <c r="F43" s="220"/>
      <c r="I43" s="220"/>
      <c r="J43" s="254" t="str">
        <f>IF(E42="","Vencedor Jogo 19",IF(E42&gt;E44,D42,D44))</f>
        <v>Vencedor Jogo 19</v>
      </c>
      <c r="K43" s="252"/>
      <c r="L43" s="220"/>
      <c r="M43" s="219"/>
      <c r="N43" s="219"/>
      <c r="O43" s="219"/>
      <c r="P43" s="219"/>
      <c r="Q43" s="219"/>
      <c r="R43" s="219"/>
      <c r="S43" s="220"/>
    </row>
    <row r="44" spans="1:27" s="221" customFormat="1" ht="23.25" customHeight="1" x14ac:dyDescent="0.2">
      <c r="A44" s="222" t="s">
        <v>58</v>
      </c>
      <c r="B44" s="223">
        <f>IF(CONFIGURAR!$D$21=1,CONFIGURAR!AD50,IF(CONFIGURAR!$D$21=2,CONFIGURAR!AE50,IF(CONFIGURAR!$D$21=3,CONFIGURAR!AF50,IF(CONFIGURAR!$D$21=4,CONFIGURAR!AG50,IF(CONFIGURAR!$D$21=5,CONFIGURAR!AH50,IF(CONFIGURAR!$D$21=6,CONFIGURAR!AI50,""))))))</f>
        <v>0.44791666666666657</v>
      </c>
      <c r="C44" s="255"/>
      <c r="D44" s="254" t="str">
        <f>IF(B43="","Vencedor Jogo 10",IF(B43&gt;B45,A43,A45))</f>
        <v>Vencedor Jogo 10</v>
      </c>
      <c r="E44" s="252"/>
      <c r="F44" s="220"/>
      <c r="G44" s="219"/>
      <c r="H44" s="220"/>
      <c r="I44" s="220"/>
      <c r="L44" s="220"/>
      <c r="O44" s="219"/>
      <c r="P44" s="219"/>
      <c r="Q44" s="219"/>
      <c r="R44" s="219"/>
      <c r="S44" s="220"/>
      <c r="X44" s="234"/>
      <c r="Z44" s="223"/>
      <c r="AA44" s="234"/>
    </row>
    <row r="45" spans="1:27" s="221" customFormat="1" ht="23.25" customHeight="1" x14ac:dyDescent="0.2">
      <c r="A45" s="254" t="str">
        <f>IF(B8="","Derrotado do jogo 2",IF(B8&gt;B10,A10,A8))</f>
        <v>Derrotado do jogo 2</v>
      </c>
      <c r="B45" s="252"/>
      <c r="C45" s="247"/>
      <c r="D45" s="219"/>
      <c r="E45" s="220"/>
      <c r="F45" s="220"/>
      <c r="G45" s="219"/>
      <c r="H45" s="220"/>
      <c r="I45" s="220"/>
      <c r="L45" s="220"/>
      <c r="M45" s="219"/>
      <c r="N45" s="219"/>
      <c r="O45" s="219"/>
      <c r="P45" s="219"/>
      <c r="Q45" s="219"/>
      <c r="R45" s="219"/>
      <c r="S45" s="220"/>
      <c r="X45" s="234"/>
      <c r="Z45" s="223"/>
      <c r="AA45" s="234"/>
    </row>
    <row r="46" spans="1:27" s="221" customFormat="1" ht="23.25" customHeight="1" x14ac:dyDescent="0.2">
      <c r="A46" s="228"/>
      <c r="B46" s="229"/>
      <c r="C46" s="229"/>
      <c r="D46" s="254" t="str">
        <f>IF(E13="","Derrotado Jogo 15",IF(E13&gt;E17,D17,D13))</f>
        <v>Derrotado Jogo 15</v>
      </c>
      <c r="E46" s="252"/>
      <c r="F46" s="220"/>
      <c r="G46" s="219"/>
      <c r="H46" s="220"/>
      <c r="I46" s="220"/>
      <c r="J46" s="222" t="s">
        <v>41</v>
      </c>
      <c r="K46" s="223">
        <f>IF(CONFIGURAR!$D$21=1,CONFIGURAR!AD70,IF(CONFIGURAR!$D$21=2,CONFIGURAR!AE70,IF(CONFIGURAR!$D$21=3,CONFIGURAR!AF70,IF(CONFIGURAR!$D$21=4,CONFIGURAR!AG70,IF(CONFIGURAR!$D$21=5,CONFIGURAR!AH70+CONFIGURAR!$D$19+CONFIGURAR!$D$20,IF(CONFIGURAR!$D$21=6,CONFIGURAR!AI70+CONFIGURAR!$D$19+CONFIGURAR!$D$20,""))))))</f>
        <v>0.51736111111111083</v>
      </c>
      <c r="L46" s="220"/>
      <c r="M46" s="254" t="str">
        <f>IF(K43="","Vencedor Jogo 30",IF(K43&gt;K49,J43,J49))</f>
        <v>Vencedor Jogo 30</v>
      </c>
      <c r="N46" s="252"/>
      <c r="O46" s="219"/>
      <c r="P46" s="219"/>
      <c r="Q46" s="219"/>
      <c r="R46" s="219"/>
      <c r="S46" s="220"/>
      <c r="X46" s="234"/>
    </row>
    <row r="47" spans="1:27" s="221" customFormat="1" ht="23.25" customHeight="1" x14ac:dyDescent="0.2">
      <c r="A47" s="254" t="str">
        <f>IF(B12="","Derrotado do jogo 3",IF(B12&gt;B14,A14,A12))</f>
        <v>Derrotado do jogo 3</v>
      </c>
      <c r="B47" s="252"/>
      <c r="C47" s="247"/>
      <c r="D47" s="222" t="s">
        <v>15</v>
      </c>
      <c r="E47" s="223">
        <f>IF(CONFIGURAR!$D$21=1,CONFIGURAR!AD60,IF(CONFIGURAR!$D$21=2,CONFIGURAR!AE60,IF(CONFIGURAR!$D$21=3,CONFIGURAR!AF60,IF(CONFIGURAR!$D$21=4,CONFIGURAR!AG60,IF(CONFIGURAR!$D$21=5,CONFIGURAR!AH60,IF(CONFIGURAR!$D$21=6,CONFIGURAR!AI60,""))))))</f>
        <v>0.48263888888888867</v>
      </c>
      <c r="F47" s="220"/>
      <c r="G47" s="254" t="str">
        <f>IF(E46="","Vencedor Jogo 20",IF(E46&gt;E48,D46,D48))</f>
        <v>Vencedor Jogo 20</v>
      </c>
      <c r="H47" s="252"/>
      <c r="I47" s="220"/>
      <c r="J47" s="219"/>
      <c r="K47" s="220"/>
      <c r="L47" s="220"/>
      <c r="O47" s="219"/>
      <c r="R47" s="219"/>
      <c r="S47" s="220"/>
      <c r="X47" s="234"/>
    </row>
    <row r="48" spans="1:27" s="221" customFormat="1" ht="23.25" customHeight="1" x14ac:dyDescent="0.2">
      <c r="A48" s="222" t="s">
        <v>59</v>
      </c>
      <c r="B48" s="223">
        <f>IF(CONFIGURAR!$D$21=1,CONFIGURAR!AD51,IF(CONFIGURAR!$D$21=2,CONFIGURAR!AE51,IF(CONFIGURAR!$D$21=3,CONFIGURAR!AF51,IF(CONFIGURAR!$D$21=4,CONFIGURAR!AG51,IF(CONFIGURAR!$D$21=5,CONFIGURAR!AH51,IF(CONFIGURAR!$D$21=6,CONFIGURAR!AI51,""))))))</f>
        <v>0.45138888888888878</v>
      </c>
      <c r="C48" s="255"/>
      <c r="D48" s="254" t="str">
        <f>IF(B47="","Vencedor Jogo 11",IF(B47&gt;B49,A47,A49))</f>
        <v>Vencedor Jogo 11</v>
      </c>
      <c r="E48" s="252"/>
      <c r="F48" s="220"/>
      <c r="G48" s="219"/>
      <c r="H48" s="220"/>
      <c r="I48" s="220"/>
      <c r="J48" s="219"/>
      <c r="K48" s="220"/>
      <c r="L48" s="220"/>
      <c r="M48" s="222" t="s">
        <v>44</v>
      </c>
      <c r="N48" s="223">
        <f>IF(CONFIGURAR!$D$21=1,CONFIGURAR!AD73,IF(CONFIGURAR!$D$21=2,CONFIGURAR!AE73,IF(CONFIGURAR!$D$21=3,CONFIGURAR!AF73,IF(CONFIGURAR!$D$21=4,CONFIGURAR!AG73,IF(CONFIGURAR!$D$21=5,CONFIGURAR!AH73+CONFIGURAR!$D$19+CONFIGURAR!$D$20,IF(CONFIGURAR!$D$21=6,CONFIGURAR!AI73+CONFIGURAR!$D$19+CONFIGURAR!$D$20,""))))))</f>
        <v>0.52777777777777746</v>
      </c>
      <c r="O48" s="219"/>
      <c r="P48" s="254" t="str">
        <f>IF(N46="","Vencedor Jogo 33",IF(N46&gt;N51,M46,M51))</f>
        <v>Vencedor Jogo 33</v>
      </c>
      <c r="Q48" s="252"/>
      <c r="R48" s="219"/>
      <c r="S48" s="220"/>
      <c r="X48" s="234"/>
    </row>
    <row r="49" spans="1:27" s="221" customFormat="1" ht="23.25" customHeight="1" x14ac:dyDescent="0.2">
      <c r="A49" s="254" t="str">
        <f>IF(B16="","Derrotado do jogo 4",IF(B16&gt;B18,A18,A16))</f>
        <v>Derrotado do jogo 4</v>
      </c>
      <c r="B49" s="252"/>
      <c r="C49" s="247"/>
      <c r="D49" s="219"/>
      <c r="E49" s="220"/>
      <c r="F49" s="220"/>
      <c r="G49" s="222" t="s">
        <v>37</v>
      </c>
      <c r="H49" s="223">
        <f>IF(CONFIGURAR!$D$21=1,CONFIGURAR!AD66,IF(CONFIGURAR!$D$21=2,CONFIGURAR!AE66,IF(CONFIGURAR!$D$21=3,CONFIGURAR!AF66,IF(CONFIGURAR!$D$21=4,CONFIGURAR!AG66,IF(CONFIGURAR!$D$21=5,CONFIGURAR!AH66,IF(CONFIGURAR!$D$21=6,CONFIGURAR!AI66,""))))))</f>
        <v>0.50347222222222199</v>
      </c>
      <c r="I49" s="220"/>
      <c r="J49" s="254" t="str">
        <f>IF(H47="","Vencedor Jogo 26",IF(H47&gt;H51,G47,G51))</f>
        <v>Vencedor Jogo 26</v>
      </c>
      <c r="K49" s="252"/>
      <c r="L49" s="220"/>
      <c r="O49" s="219"/>
      <c r="P49" s="219"/>
      <c r="Q49" s="219"/>
      <c r="R49" s="219"/>
      <c r="S49" s="220"/>
      <c r="X49" s="234"/>
    </row>
    <row r="50" spans="1:27" s="221" customFormat="1" ht="23.25" customHeight="1" x14ac:dyDescent="0.2">
      <c r="A50" s="228"/>
      <c r="B50" s="229"/>
      <c r="C50" s="229"/>
      <c r="D50" s="254" t="str">
        <f>IF(E21="","Derrotado Jogo 16",IF(E21&gt;E25,D25,D21))</f>
        <v>Derrotado Jogo 16</v>
      </c>
      <c r="E50" s="252"/>
      <c r="F50" s="220"/>
      <c r="G50" s="219"/>
      <c r="H50" s="220"/>
      <c r="I50" s="220"/>
      <c r="J50" s="219"/>
      <c r="K50" s="220"/>
      <c r="L50" s="220"/>
      <c r="M50" s="219"/>
      <c r="N50" s="219"/>
      <c r="O50" s="219"/>
      <c r="P50" s="219"/>
      <c r="Q50" s="219"/>
      <c r="R50" s="219"/>
      <c r="S50" s="220"/>
      <c r="X50" s="234"/>
    </row>
    <row r="51" spans="1:27" s="221" customFormat="1" ht="23.25" customHeight="1" x14ac:dyDescent="0.2">
      <c r="A51" s="254" t="str">
        <f>IF(B20="","Derrotado do jogo 5",IF(B20&gt;B22,A22,A20))</f>
        <v>Derrotado do jogo 5</v>
      </c>
      <c r="B51" s="252"/>
      <c r="C51" s="247"/>
      <c r="D51" s="222" t="s">
        <v>16</v>
      </c>
      <c r="E51" s="223">
        <f>IF(CONFIGURAR!$D$21=1,CONFIGURAR!AD61,IF(CONFIGURAR!$D$21=2,CONFIGURAR!AE61,IF(CONFIGURAR!$D$21=3,CONFIGURAR!AF61,IF(CONFIGURAR!$D$21=4,CONFIGURAR!AG61,IF(CONFIGURAR!$D$21=5,CONFIGURAR!AH61,IF(CONFIGURAR!$D$21=6,CONFIGURAR!AI61,""))))))</f>
        <v>0.48611111111111088</v>
      </c>
      <c r="F51" s="220"/>
      <c r="G51" s="254" t="str">
        <f>IF(E50="","Vencedor Jogo 21",IF(E50&gt;E52,D50,D52))</f>
        <v>Vencedor Jogo 21</v>
      </c>
      <c r="H51" s="252"/>
      <c r="I51" s="220"/>
      <c r="K51" s="220"/>
      <c r="L51" s="220"/>
      <c r="M51" s="254" t="str">
        <f>IF(H53="","Vencedor Jogo 27",IF(H53&gt;H55,G53,G55))</f>
        <v>Vencedor Jogo 27</v>
      </c>
      <c r="N51" s="252"/>
      <c r="O51" s="219"/>
      <c r="P51" s="219"/>
      <c r="Q51" s="219"/>
      <c r="R51" s="219"/>
      <c r="S51" s="220"/>
      <c r="X51" s="234"/>
    </row>
    <row r="52" spans="1:27" s="221" customFormat="1" ht="23.25" customHeight="1" x14ac:dyDescent="0.2">
      <c r="A52" s="222" t="s">
        <v>60</v>
      </c>
      <c r="B52" s="223">
        <f>IF(CONFIGURAR!$D$21=1,CONFIGURAR!AD52,IF(CONFIGURAR!$D$21=2,CONFIGURAR!AE52,IF(CONFIGURAR!$D$21=3,CONFIGURAR!AF52,IF(CONFIGURAR!$D$21=4,CONFIGURAR!AG52,IF(CONFIGURAR!$D$21=5,CONFIGURAR!AH52,IF(CONFIGURAR!$D$21=6,CONFIGURAR!AI52,""))))))</f>
        <v>0.45486111111111099</v>
      </c>
      <c r="C52" s="255"/>
      <c r="D52" s="254" t="str">
        <f>IF(B51="","Vencedor Jogo 12",IF(B51&gt;B53,A51,A53))</f>
        <v>Vencedor Jogo 12</v>
      </c>
      <c r="E52" s="252"/>
      <c r="F52" s="220"/>
      <c r="G52" s="219"/>
      <c r="H52" s="220"/>
      <c r="I52" s="220"/>
      <c r="J52" s="219"/>
      <c r="K52" s="220"/>
      <c r="L52" s="220"/>
      <c r="M52" s="219"/>
      <c r="N52" s="219"/>
      <c r="O52" s="219"/>
      <c r="P52" s="222" t="s">
        <v>46</v>
      </c>
      <c r="Q52" s="223">
        <f>IF(CONFIGURAR!$D$21=1,CONFIGURAR!AD75,IF(CONFIGURAR!$D$21=2,CONFIGURAR!AE75+CONFIGURAR!D19+CONFIGURAR!D20,IF(CONFIGURAR!$D$21=3,CONFIGURAR!AF75+CONFIGURAR!D19+CONFIGURAR!D20,IF(CONFIGURAR!$D$21=4,N57+CONFIGURAR!$D$19+CONFIGURAR!$D$20,IF(CONFIGURAR!$D$21=5,N57+CONFIGURAR!$D$19+CONFIGURAR!$D$20,IF(CONFIGURAR!$D$21=6,N57+CONFIGURAR!$D$19+CONFIGURAR!$D$20,""))))))</f>
        <v>0.53472222222222188</v>
      </c>
      <c r="R52" s="219"/>
      <c r="S52" s="220"/>
      <c r="X52" s="234"/>
      <c r="Z52" s="223"/>
      <c r="AA52" s="234"/>
    </row>
    <row r="53" spans="1:27" s="221" customFormat="1" ht="23.25" customHeight="1" x14ac:dyDescent="0.2">
      <c r="A53" s="254" t="str">
        <f>IF(B24="","Derrotado do jogo 6",IF(B24&gt;B26,A26,A24))</f>
        <v>Derrotado do jogo 6</v>
      </c>
      <c r="B53" s="252"/>
      <c r="C53" s="247"/>
      <c r="F53" s="224"/>
      <c r="G53" s="254" t="str">
        <f>IF(H7="","Derrotado Jogo 24",IF(H7&gt;H15,G15,G7))</f>
        <v>Derrotado Jogo 24</v>
      </c>
      <c r="H53" s="252"/>
      <c r="I53" s="218"/>
      <c r="J53" s="256"/>
      <c r="K53" s="256"/>
      <c r="L53" s="256"/>
      <c r="S53" s="220"/>
      <c r="X53" s="234"/>
      <c r="Z53" s="223"/>
      <c r="AA53" s="234"/>
    </row>
    <row r="54" spans="1:27" s="221" customFormat="1" ht="23.25" customHeight="1" x14ac:dyDescent="0.2">
      <c r="A54" s="228"/>
      <c r="B54" s="229"/>
      <c r="C54" s="229"/>
      <c r="D54" s="254" t="str">
        <f>IF(E29="","Derrotado Jogo 17",IF(E29&gt;E33,D33,D29))</f>
        <v>Derrotado Jogo 17</v>
      </c>
      <c r="E54" s="252"/>
      <c r="F54" s="255"/>
      <c r="G54" s="222" t="s">
        <v>38</v>
      </c>
      <c r="H54" s="223">
        <f>IF(CONFIGURAR!$D$21=1,CONFIGURAR!AD67,IF(CONFIGURAR!$D$21=2,CONFIGURAR!AE67,IF(CONFIGURAR!$D$21=3,CONFIGURAR!AF67,IF(CONFIGURAR!$D$21=4,CONFIGURAR!AG67,IF(CONFIGURAR!$D$21=5,CONFIGURAR!AH67,IF(CONFIGURAR!$D$21=6,CONFIGURAR!AI67,""))))))</f>
        <v>0.5069444444444442</v>
      </c>
      <c r="I54" s="225"/>
      <c r="L54" s="247"/>
      <c r="M54" s="219"/>
      <c r="N54" s="219"/>
      <c r="O54" s="219"/>
      <c r="P54" s="219"/>
      <c r="Q54" s="219"/>
      <c r="R54" s="219"/>
      <c r="S54" s="220"/>
      <c r="X54" s="234"/>
      <c r="Z54" s="223"/>
      <c r="AA54" s="234"/>
    </row>
    <row r="55" spans="1:27" s="221" customFormat="1" ht="23.25" customHeight="1" x14ac:dyDescent="0.2">
      <c r="A55" s="254" t="str">
        <f>IF(B28="","Derrotado do jogo 7",(IF(B28&gt;B30,A30,A28)))</f>
        <v>Derrotado do jogo 7</v>
      </c>
      <c r="B55" s="252"/>
      <c r="C55" s="247"/>
      <c r="D55" s="222" t="s">
        <v>34</v>
      </c>
      <c r="E55" s="223">
        <f>IF(CONFIGURAR!$D$21=1,CONFIGURAR!AD62,IF(CONFIGURAR!$D$21=2,CONFIGURAR!AE62,IF(CONFIGURAR!$D$21=3,CONFIGURAR!AF62,IF(CONFIGURAR!$D$21=4,CONFIGURAR!AG62,IF(CONFIGURAR!$D$21=5,CONFIGURAR!AH62,IF(CONFIGURAR!$D$21=6,CONFIGURAR!AI62,""))))))</f>
        <v>0.48958333333333309</v>
      </c>
      <c r="F55" s="257"/>
      <c r="G55" s="254" t="str">
        <f>IF(E54="","Vencedor Jogo 22",IF(E54&gt;E56,D54,D56))</f>
        <v>Vencedor Jogo 22</v>
      </c>
      <c r="H55" s="252"/>
      <c r="I55" s="220"/>
      <c r="L55" s="258"/>
      <c r="O55" s="259"/>
      <c r="R55" s="260"/>
      <c r="X55" s="234"/>
      <c r="Z55" s="223"/>
      <c r="AA55" s="234"/>
    </row>
    <row r="56" spans="1:27" s="221" customFormat="1" ht="23.25" customHeight="1" x14ac:dyDescent="0.2">
      <c r="A56" s="222" t="s">
        <v>10</v>
      </c>
      <c r="B56" s="223">
        <f>IF(CONFIGURAR!$D$21=1,CONFIGURAR!AD53,IF(CONFIGURAR!$D$21=2,CONFIGURAR!AE53,IF(CONFIGURAR!$D$21=3,CONFIGURAR!AF53,IF(CONFIGURAR!$D$21=4,CONFIGURAR!AG53,IF(CONFIGURAR!$D$21=5,CONFIGURAR!AH53,IF(CONFIGURAR!$D$21=6,CONFIGURAR!AI53,""))))))</f>
        <v>0.4583333333333332</v>
      </c>
      <c r="C56" s="255"/>
      <c r="D56" s="254" t="str">
        <f>IF(B55="","Vencedor Jogo 13",IF(B55&gt;B57,A55,A57))</f>
        <v>Vencedor Jogo 13</v>
      </c>
      <c r="E56" s="252"/>
      <c r="F56" s="247"/>
      <c r="I56" s="220"/>
      <c r="L56" s="258"/>
      <c r="M56" s="254" t="str">
        <f>IF(N11="","Derrotado Jogo 32",IF(N11&gt;N29,M29,M11))</f>
        <v>Derrotado Jogo 32</v>
      </c>
      <c r="N56" s="252"/>
      <c r="P56" s="254" t="str">
        <f>IF(N56="","Vencedor Jogo 34",IF(N56&gt;N58,M56,M58))</f>
        <v>Vencedor Jogo 34</v>
      </c>
      <c r="Q56" s="252"/>
      <c r="R56" s="220"/>
      <c r="S56" s="220"/>
      <c r="T56" s="220"/>
      <c r="U56" s="219"/>
      <c r="V56" s="219"/>
      <c r="W56" s="220"/>
      <c r="X56" s="234"/>
      <c r="Z56" s="223"/>
    </row>
    <row r="57" spans="1:27" s="221" customFormat="1" ht="23.25" customHeight="1" x14ac:dyDescent="0.2">
      <c r="A57" s="254" t="str">
        <f>IF(B32="","Derrotado do jogo 8",IF(B32&gt;B34,A34,A32))</f>
        <v>Derrotado do jogo 8</v>
      </c>
      <c r="B57" s="252"/>
      <c r="C57" s="247"/>
      <c r="D57" s="219"/>
      <c r="E57" s="220"/>
      <c r="F57" s="220"/>
      <c r="G57" s="254" t="str">
        <f>IF(H31="","Derrotado Jogo 25",IF(H31&gt;H39,G39,G31))</f>
        <v>Derrotado Jogo 25</v>
      </c>
      <c r="H57" s="252"/>
      <c r="I57" s="220"/>
      <c r="J57" s="254" t="str">
        <f>IF(H57="","Vencedor Jogo 28",IF(H57&gt;H59,G57,G59))</f>
        <v>Vencedor Jogo 28</v>
      </c>
      <c r="K57" s="252"/>
      <c r="L57" s="219"/>
      <c r="M57" s="222" t="s">
        <v>45</v>
      </c>
      <c r="N57" s="223">
        <f>IF(CONFIGURAR!$D$21=1,CONFIGURAR!AD74,IF(CONFIGURAR!$D$21=2,CONFIGURAR!AE74,IF(CONFIGURAR!$D$21=3,CONFIGURAR!AF74,IF(CONFIGURAR!$D$21=4,CONFIGURAR!AG74+CONFIGURAR!$D$19+CONFIGURAR!$D$20,IF(CONFIGURAR!$D$21=5,CONFIGURAR!AH74+CONFIGURAR!$D$19+CONFIGURAR!$D$20,IF(CONFIGURAR!$D$21=6,K58+CONFIGURAR!$D$19+CONFIGURAR!$D$20,""))))))</f>
        <v>0.53124999999999967</v>
      </c>
      <c r="O57" s="237"/>
      <c r="R57" s="233"/>
      <c r="S57" s="225"/>
      <c r="T57" s="225"/>
      <c r="X57" s="234"/>
      <c r="Z57" s="223"/>
    </row>
    <row r="58" spans="1:27" s="221" customFormat="1" ht="23.25" customHeight="1" x14ac:dyDescent="0.2">
      <c r="A58" s="228"/>
      <c r="B58" s="229"/>
      <c r="C58" s="229"/>
      <c r="D58" s="254" t="str">
        <f>IF(E37="","Derrotado Jogo 18",IF(E37&gt;E40,D40,D37))</f>
        <v>Derrotado Jogo 18</v>
      </c>
      <c r="E58" s="252"/>
      <c r="F58" s="220"/>
      <c r="G58" s="222" t="s">
        <v>39</v>
      </c>
      <c r="H58" s="223">
        <f>IF(CONFIGURAR!$D$21=1,CONFIGURAR!AD68,IF(CONFIGURAR!$D$21=2,CONFIGURAR!AE68,IF(CONFIGURAR!$D$21=3,CONFIGURAR!AF68,IF(CONFIGURAR!$D$21=4,CONFIGURAR!AG68+CONFIGURAR!$D$19+CONFIGURAR!$D$20,IF(CONFIGURAR!$D$21=5,CONFIGURAR!AH68,IF(CONFIGURAR!$D$21=6,CONFIGURAR!AI68+CONFIGURAR!$D$19+CONFIGURAR!$D$20,""))))))</f>
        <v>0.51041666666666641</v>
      </c>
      <c r="I58" s="230"/>
      <c r="J58" s="222" t="s">
        <v>42</v>
      </c>
      <c r="K58" s="223">
        <f>IF(CONFIGURAR!$D$21=1,CONFIGURAR!AD71,IF(CONFIGURAR!$D$21=2,CONFIGURAR!AE71,IF(CONFIGURAR!$D$21=3,CONFIGURAR!AF71,IF(CONFIGURAR!$D$21=4,CONFIGURAR!AG71+CONFIGURAR!$D$19+CONFIGURAR!$D$20,IF(CONFIGURAR!$D$21=5,CONFIGURAR!AH71,IF(CONFIGURAR!$D$21=6,CONFIGURAR!AI71+CONFIGURAR!$D$19+CONFIGURAR!$D$20,""))))))</f>
        <v>0.52083333333333304</v>
      </c>
      <c r="L58" s="220"/>
      <c r="M58" s="254" t="str">
        <f>IF(K57="","Vencedor Jogo 31",IF(K57&gt;K59,J57,J59))</f>
        <v>Vencedor Jogo 31</v>
      </c>
      <c r="N58" s="252"/>
      <c r="O58" s="261"/>
      <c r="P58" s="261"/>
      <c r="Q58" s="261"/>
      <c r="R58" s="259"/>
      <c r="S58" s="220"/>
      <c r="X58" s="234"/>
      <c r="Z58" s="223"/>
    </row>
    <row r="59" spans="1:27" s="221" customFormat="1" ht="23.25" customHeight="1" x14ac:dyDescent="0.2">
      <c r="C59" s="247"/>
      <c r="D59" s="222" t="s">
        <v>17</v>
      </c>
      <c r="E59" s="223">
        <f>IF(CONFIGURAR!$D$21=1,CONFIGURAR!AD63,IF(CONFIGURAR!$D$21=2,CONFIGURAR!AE63,IF(CONFIGURAR!$D$21=3,CONFIGURAR!AF63,IF(CONFIGURAR!$D$21=4,CONFIGURAR!AG63,IF(CONFIGURAR!$D$21=5,CONFIGURAR!AH63,IF(CONFIGURAR!$D$21=6,CONFIGURAR!AI63,""))))))</f>
        <v>0.4930555555555553</v>
      </c>
      <c r="F59" s="220"/>
      <c r="G59" s="254" t="str">
        <f>IF(E58="","Vencedor Jogo 23",IF(E58&gt;E60,D58,D60))</f>
        <v>Vencedor Jogo 23</v>
      </c>
      <c r="H59" s="252"/>
      <c r="I59" s="262"/>
      <c r="J59" s="254" t="str">
        <f>IF(K23="","Derrotado Jogo 29",IF(K23&gt;K35,J35,J23))</f>
        <v>Derrotado Jogo 29</v>
      </c>
      <c r="K59" s="252"/>
      <c r="L59" s="247"/>
      <c r="M59" s="219"/>
      <c r="N59" s="219"/>
      <c r="O59" s="219"/>
      <c r="P59" s="219"/>
      <c r="Q59" s="219"/>
      <c r="S59" s="220"/>
      <c r="X59" s="234"/>
      <c r="Z59" s="223"/>
    </row>
    <row r="60" spans="1:27" s="221" customFormat="1" ht="23.25" customHeight="1" x14ac:dyDescent="0.2">
      <c r="A60" s="254" t="str">
        <f>IF(B36="","Derrotado do jogo 9",IF(B36&gt;B38,A38,A36))</f>
        <v>Derrotado do jogo 9</v>
      </c>
      <c r="B60" s="254"/>
      <c r="C60" s="255"/>
      <c r="D60" s="254" t="str">
        <f>A60</f>
        <v>Derrotado do jogo 9</v>
      </c>
      <c r="E60" s="252"/>
      <c r="F60" s="247"/>
      <c r="I60" s="262"/>
      <c r="R60" s="237"/>
      <c r="X60" s="234"/>
      <c r="Z60" s="223"/>
    </row>
    <row r="61" spans="1:27" s="221" customFormat="1" ht="23.25" customHeight="1" x14ac:dyDescent="0.2">
      <c r="A61" s="259"/>
      <c r="B61" s="247"/>
      <c r="C61" s="247"/>
      <c r="D61" s="219"/>
      <c r="E61" s="220"/>
      <c r="F61" s="220"/>
      <c r="I61" s="220"/>
      <c r="J61" s="213"/>
      <c r="K61" s="213"/>
      <c r="L61" s="213"/>
      <c r="M61" s="213"/>
      <c r="N61" s="213"/>
      <c r="O61" s="213"/>
      <c r="P61" s="213"/>
      <c r="Q61" s="213"/>
      <c r="R61" s="213"/>
      <c r="S61" s="213"/>
      <c r="T61" s="213"/>
      <c r="U61" s="213"/>
      <c r="V61" s="213"/>
      <c r="W61" s="213"/>
      <c r="X61" s="234"/>
      <c r="Z61" s="223"/>
    </row>
    <row r="62" spans="1:27" s="221" customFormat="1" ht="23.25" customHeight="1" x14ac:dyDescent="0.2">
      <c r="A62" s="263"/>
      <c r="B62" s="263"/>
      <c r="C62" s="263"/>
      <c r="D62" s="263"/>
      <c r="E62" s="263"/>
      <c r="F62" s="263"/>
      <c r="G62" s="263"/>
      <c r="H62" s="263"/>
      <c r="I62" s="263"/>
      <c r="J62" s="213"/>
      <c r="K62" s="213"/>
      <c r="L62" s="213"/>
      <c r="M62" s="213"/>
      <c r="N62" s="213"/>
      <c r="O62" s="213"/>
      <c r="P62" s="213"/>
      <c r="Q62" s="213"/>
      <c r="R62" s="213"/>
      <c r="S62" s="213"/>
      <c r="T62" s="213"/>
      <c r="U62" s="213"/>
      <c r="V62" s="213"/>
      <c r="W62" s="213"/>
      <c r="X62" s="234"/>
      <c r="Z62" s="223"/>
    </row>
    <row r="63" spans="1:27" s="221" customFormat="1" ht="25.5" customHeight="1" x14ac:dyDescent="0.2">
      <c r="A63" s="264" t="s">
        <v>18</v>
      </c>
      <c r="B63" s="264"/>
      <c r="C63" s="264"/>
      <c r="D63" s="264" t="s">
        <v>19</v>
      </c>
      <c r="E63" s="264"/>
      <c r="F63" s="264"/>
      <c r="G63" s="264" t="s">
        <v>20</v>
      </c>
      <c r="H63" s="264"/>
      <c r="I63" s="264"/>
      <c r="J63" s="264" t="s">
        <v>21</v>
      </c>
      <c r="K63" s="264"/>
      <c r="L63" s="264"/>
      <c r="M63" s="264" t="s">
        <v>22</v>
      </c>
      <c r="N63" s="264"/>
      <c r="O63" s="264"/>
      <c r="P63" s="264" t="s">
        <v>23</v>
      </c>
      <c r="Q63" s="264"/>
      <c r="R63" s="264"/>
      <c r="S63" s="264"/>
      <c r="T63" s="264"/>
      <c r="U63" s="264" t="s">
        <v>57</v>
      </c>
      <c r="V63" s="263"/>
      <c r="W63" s="263"/>
      <c r="Z63" s="223"/>
    </row>
    <row r="64" spans="1:27" s="266" customFormat="1" ht="15.75" customHeight="1" x14ac:dyDescent="0.2">
      <c r="A64" s="208"/>
      <c r="B64" s="209"/>
      <c r="C64" s="209"/>
      <c r="D64" s="210"/>
      <c r="E64" s="211"/>
      <c r="F64" s="211"/>
      <c r="G64" s="210"/>
      <c r="H64" s="211"/>
      <c r="I64" s="211"/>
      <c r="J64" s="210"/>
      <c r="K64" s="211"/>
      <c r="L64" s="211"/>
      <c r="M64" s="210"/>
      <c r="N64" s="210"/>
      <c r="O64" s="210"/>
      <c r="P64" s="210"/>
      <c r="Q64" s="210"/>
      <c r="R64" s="210"/>
      <c r="S64" s="211"/>
      <c r="T64" s="211"/>
      <c r="U64" s="210"/>
      <c r="V64" s="210"/>
      <c r="W64" s="211"/>
      <c r="X64" s="265"/>
      <c r="Y64" s="221"/>
      <c r="Z64" s="223"/>
    </row>
    <row r="65" spans="25:26" ht="15" x14ac:dyDescent="0.2">
      <c r="Y65" s="221"/>
      <c r="Z65" s="223"/>
    </row>
    <row r="66" spans="25:26" ht="15" x14ac:dyDescent="0.2">
      <c r="Y66" s="221"/>
      <c r="Z66" s="223"/>
    </row>
    <row r="67" spans="25:26" ht="15" x14ac:dyDescent="0.2">
      <c r="Y67" s="221"/>
      <c r="Z67" s="223"/>
    </row>
    <row r="68" spans="25:26" ht="15" x14ac:dyDescent="0.2">
      <c r="Y68" s="221"/>
      <c r="Z68" s="223"/>
    </row>
    <row r="69" spans="25:26" ht="15" x14ac:dyDescent="0.2">
      <c r="Y69" s="221"/>
      <c r="Z69" s="223"/>
    </row>
    <row r="70" spans="25:26" ht="15" x14ac:dyDescent="0.2">
      <c r="Y70" s="221"/>
      <c r="Z70" s="223"/>
    </row>
    <row r="71" spans="25:26" ht="15" x14ac:dyDescent="0.2">
      <c r="Y71" s="221"/>
      <c r="Z71" s="223"/>
    </row>
    <row r="72" spans="25:26" ht="15" x14ac:dyDescent="0.2">
      <c r="Y72" s="221"/>
      <c r="Z72" s="223"/>
    </row>
    <row r="73" spans="25:26" ht="15" x14ac:dyDescent="0.2">
      <c r="Y73" s="221"/>
      <c r="Z73" s="223"/>
    </row>
    <row r="74" spans="25:26" ht="15" x14ac:dyDescent="0.2">
      <c r="Y74" s="221"/>
      <c r="Z74" s="223"/>
    </row>
    <row r="75" spans="25:26" ht="15" x14ac:dyDescent="0.2">
      <c r="Y75" s="221"/>
      <c r="Z75" s="223"/>
    </row>
    <row r="76" spans="25:26" ht="15" x14ac:dyDescent="0.2">
      <c r="Y76" s="221"/>
      <c r="Z76" s="223"/>
    </row>
    <row r="77" spans="25:26" ht="15" x14ac:dyDescent="0.2">
      <c r="Y77" s="221"/>
      <c r="Z77" s="223"/>
    </row>
    <row r="78" spans="25:26" ht="15" x14ac:dyDescent="0.2">
      <c r="Y78" s="221"/>
      <c r="Z78" s="223"/>
    </row>
    <row r="79" spans="25:26" ht="15" x14ac:dyDescent="0.2">
      <c r="Y79" s="221"/>
      <c r="Z79" s="223"/>
    </row>
    <row r="80" spans="25:26" ht="15" x14ac:dyDescent="0.2">
      <c r="Y80" s="221"/>
      <c r="Z80" s="223"/>
    </row>
    <row r="81" spans="25:26" ht="15" x14ac:dyDescent="0.2">
      <c r="Y81" s="221"/>
      <c r="Z81" s="223"/>
    </row>
    <row r="82" spans="25:26" ht="15" x14ac:dyDescent="0.2">
      <c r="Y82" s="221"/>
      <c r="Z82" s="223"/>
    </row>
    <row r="83" spans="25:26" ht="15" x14ac:dyDescent="0.2">
      <c r="Y83" s="221"/>
      <c r="Z83" s="223"/>
    </row>
    <row r="84" spans="25:26" ht="15" x14ac:dyDescent="0.2">
      <c r="Y84" s="221"/>
      <c r="Z84" s="223"/>
    </row>
    <row r="85" spans="25:26" ht="15" x14ac:dyDescent="0.2">
      <c r="Y85" s="221"/>
      <c r="Z85" s="223"/>
    </row>
    <row r="86" spans="25:26" ht="15" x14ac:dyDescent="0.2">
      <c r="Y86" s="221"/>
      <c r="Z86" s="223"/>
    </row>
    <row r="87" spans="25:26" ht="15" x14ac:dyDescent="0.2">
      <c r="Y87" s="221"/>
      <c r="Z87" s="223"/>
    </row>
    <row r="88" spans="25:26" ht="15" x14ac:dyDescent="0.2">
      <c r="Y88" s="221"/>
      <c r="Z88" s="223"/>
    </row>
    <row r="89" spans="25:26" ht="15" x14ac:dyDescent="0.2">
      <c r="Y89" s="221"/>
      <c r="Z89" s="223"/>
    </row>
    <row r="90" spans="25:26" ht="15" x14ac:dyDescent="0.2">
      <c r="Y90" s="221"/>
      <c r="Z90" s="223"/>
    </row>
    <row r="91" spans="25:26" ht="15" x14ac:dyDescent="0.2">
      <c r="Y91" s="221"/>
      <c r="Z91" s="223"/>
    </row>
    <row r="92" spans="25:26" ht="15" x14ac:dyDescent="0.2">
      <c r="Y92" s="221"/>
      <c r="Z92" s="223"/>
    </row>
    <row r="93" spans="25:26" ht="15" x14ac:dyDescent="0.2">
      <c r="Y93" s="221"/>
      <c r="Z93" s="223"/>
    </row>
    <row r="94" spans="25:26" ht="15" x14ac:dyDescent="0.2">
      <c r="Y94" s="221"/>
      <c r="Z94" s="223"/>
    </row>
    <row r="95" spans="25:26" ht="15" x14ac:dyDescent="0.2">
      <c r="Y95" s="221"/>
      <c r="Z95" s="223"/>
    </row>
    <row r="96" spans="25:26" ht="15" x14ac:dyDescent="0.2">
      <c r="Y96" s="221"/>
      <c r="Z96" s="223"/>
    </row>
    <row r="97" spans="25:26" ht="15" x14ac:dyDescent="0.2">
      <c r="Y97" s="221"/>
      <c r="Z97" s="223"/>
    </row>
    <row r="98" spans="25:26" ht="15" x14ac:dyDescent="0.2">
      <c r="Y98" s="221"/>
      <c r="Z98" s="223"/>
    </row>
    <row r="99" spans="25:26" ht="15" x14ac:dyDescent="0.2">
      <c r="Y99" s="221"/>
      <c r="Z99" s="223"/>
    </row>
    <row r="100" spans="25:26" ht="15" x14ac:dyDescent="0.2">
      <c r="Y100" s="221"/>
      <c r="Z100" s="223"/>
    </row>
    <row r="101" spans="25:26" ht="15" x14ac:dyDescent="0.2">
      <c r="Y101" s="221"/>
      <c r="Z101" s="223"/>
    </row>
    <row r="102" spans="25:26" ht="15" x14ac:dyDescent="0.2">
      <c r="Y102" s="221"/>
      <c r="Z102" s="223"/>
    </row>
    <row r="103" spans="25:26" ht="15" x14ac:dyDescent="0.2">
      <c r="Y103" s="221"/>
      <c r="Z103" s="223"/>
    </row>
    <row r="104" spans="25:26" ht="15" x14ac:dyDescent="0.2">
      <c r="Y104" s="221"/>
      <c r="Z104" s="223"/>
    </row>
    <row r="105" spans="25:26" ht="15" x14ac:dyDescent="0.2">
      <c r="Y105" s="221"/>
      <c r="Z105" s="223"/>
    </row>
    <row r="106" spans="25:26" ht="15" x14ac:dyDescent="0.2">
      <c r="Y106" s="221"/>
      <c r="Z106" s="223"/>
    </row>
    <row r="107" spans="25:26" ht="15" x14ac:dyDescent="0.2">
      <c r="Y107" s="221"/>
      <c r="Z107" s="223"/>
    </row>
    <row r="108" spans="25:26" ht="15" x14ac:dyDescent="0.2">
      <c r="Y108" s="221"/>
      <c r="Z108" s="223"/>
    </row>
    <row r="109" spans="25:26" ht="15" x14ac:dyDescent="0.2">
      <c r="Y109" s="221"/>
      <c r="Z109" s="223"/>
    </row>
    <row r="110" spans="25:26" ht="15" x14ac:dyDescent="0.2">
      <c r="Y110" s="221"/>
      <c r="Z110" s="223"/>
    </row>
    <row r="111" spans="25:26" ht="15" x14ac:dyDescent="0.2">
      <c r="Y111" s="221"/>
      <c r="Z111" s="223"/>
    </row>
    <row r="112" spans="25:26" ht="15" x14ac:dyDescent="0.2">
      <c r="Y112" s="221"/>
      <c r="Z112" s="223"/>
    </row>
    <row r="113" spans="25:26" ht="15" x14ac:dyDescent="0.2">
      <c r="Y113" s="221"/>
      <c r="Z113" s="223"/>
    </row>
    <row r="114" spans="25:26" ht="15" x14ac:dyDescent="0.2">
      <c r="Y114" s="221"/>
      <c r="Z114" s="223"/>
    </row>
    <row r="115" spans="25:26" ht="15" x14ac:dyDescent="0.2">
      <c r="Y115" s="221"/>
      <c r="Z115" s="223"/>
    </row>
    <row r="116" spans="25:26" x14ac:dyDescent="0.2">
      <c r="Y116" s="221"/>
    </row>
    <row r="117" spans="25:26" x14ac:dyDescent="0.2">
      <c r="Y117" s="221"/>
    </row>
    <row r="118" spans="25:26" x14ac:dyDescent="0.2">
      <c r="Y118" s="221"/>
    </row>
    <row r="119" spans="25:26" x14ac:dyDescent="0.2">
      <c r="Y119" s="221"/>
    </row>
    <row r="120" spans="25:26" x14ac:dyDescent="0.2">
      <c r="Y120" s="221"/>
    </row>
    <row r="121" spans="25:26" x14ac:dyDescent="0.2">
      <c r="Y121" s="221"/>
    </row>
    <row r="122" spans="25:26" x14ac:dyDescent="0.2">
      <c r="Y122" s="221"/>
    </row>
    <row r="123" spans="25:26" x14ac:dyDescent="0.2">
      <c r="Y123" s="221"/>
    </row>
    <row r="124" spans="25:26" x14ac:dyDescent="0.2">
      <c r="Y124" s="221"/>
    </row>
    <row r="125" spans="25:26" x14ac:dyDescent="0.2">
      <c r="Y125" s="221"/>
    </row>
    <row r="126" spans="25:26" x14ac:dyDescent="0.2">
      <c r="Y126" s="221"/>
    </row>
    <row r="127" spans="25:26" x14ac:dyDescent="0.2">
      <c r="Y127" s="221"/>
    </row>
    <row r="128" spans="25:26" x14ac:dyDescent="0.2">
      <c r="Y128" s="221"/>
    </row>
    <row r="129" spans="25:25" x14ac:dyDescent="0.2">
      <c r="Y129" s="221"/>
    </row>
    <row r="130" spans="25:25" x14ac:dyDescent="0.2">
      <c r="Y130" s="221"/>
    </row>
    <row r="131" spans="25:25" x14ac:dyDescent="0.2">
      <c r="Y131" s="221"/>
    </row>
    <row r="132" spans="25:25" x14ac:dyDescent="0.2">
      <c r="Y132" s="221"/>
    </row>
    <row r="133" spans="25:25" x14ac:dyDescent="0.2">
      <c r="Y133" s="221"/>
    </row>
    <row r="134" spans="25:25" x14ac:dyDescent="0.2">
      <c r="Y134" s="221"/>
    </row>
    <row r="135" spans="25:25" x14ac:dyDescent="0.2">
      <c r="Y135" s="221"/>
    </row>
    <row r="136" spans="25:25" x14ac:dyDescent="0.2">
      <c r="Y136" s="221"/>
    </row>
    <row r="137" spans="25:25" x14ac:dyDescent="0.2">
      <c r="Y137" s="221"/>
    </row>
    <row r="138" spans="25:25" x14ac:dyDescent="0.2">
      <c r="Y138" s="221"/>
    </row>
    <row r="139" spans="25:25" x14ac:dyDescent="0.2">
      <c r="Y139" s="221"/>
    </row>
    <row r="140" spans="25:25" x14ac:dyDescent="0.2">
      <c r="Y140" s="221"/>
    </row>
    <row r="141" spans="25:25" x14ac:dyDescent="0.2">
      <c r="Y141" s="221"/>
    </row>
    <row r="142" spans="25:25" x14ac:dyDescent="0.2">
      <c r="Y142" s="221"/>
    </row>
    <row r="143" spans="25:25" x14ac:dyDescent="0.2">
      <c r="Y143" s="221"/>
    </row>
    <row r="144" spans="25:25" x14ac:dyDescent="0.2">
      <c r="Y144" s="221"/>
    </row>
    <row r="145" spans="25:25" x14ac:dyDescent="0.2">
      <c r="Y145" s="221"/>
    </row>
    <row r="146" spans="25:25" x14ac:dyDescent="0.2">
      <c r="Y146" s="221"/>
    </row>
    <row r="147" spans="25:25" x14ac:dyDescent="0.2">
      <c r="Y147" s="221"/>
    </row>
    <row r="148" spans="25:25" x14ac:dyDescent="0.2">
      <c r="Y148" s="221"/>
    </row>
    <row r="149" spans="25:25" x14ac:dyDescent="0.2">
      <c r="Y149" s="221"/>
    </row>
    <row r="150" spans="25:25" x14ac:dyDescent="0.2">
      <c r="Y150" s="221"/>
    </row>
    <row r="151" spans="25:25" x14ac:dyDescent="0.2">
      <c r="Y151" s="221"/>
    </row>
    <row r="152" spans="25:25" x14ac:dyDescent="0.2">
      <c r="Y152" s="221"/>
    </row>
    <row r="153" spans="25:25" x14ac:dyDescent="0.2">
      <c r="Y153" s="221"/>
    </row>
    <row r="154" spans="25:25" x14ac:dyDescent="0.2">
      <c r="Y154" s="221"/>
    </row>
    <row r="155" spans="25:25" x14ac:dyDescent="0.2">
      <c r="Y155" s="221"/>
    </row>
    <row r="156" spans="25:25" x14ac:dyDescent="0.2">
      <c r="Y156" s="221"/>
    </row>
    <row r="157" spans="25:25" x14ac:dyDescent="0.2">
      <c r="Y157" s="221"/>
    </row>
    <row r="158" spans="25:25" x14ac:dyDescent="0.2">
      <c r="Y158" s="221"/>
    </row>
    <row r="159" spans="25:25" x14ac:dyDescent="0.2">
      <c r="Y159" s="221"/>
    </row>
    <row r="160" spans="25:25" x14ac:dyDescent="0.2">
      <c r="Y160" s="221"/>
    </row>
    <row r="161" spans="25:25" x14ac:dyDescent="0.2">
      <c r="Y161" s="221"/>
    </row>
    <row r="162" spans="25:25" x14ac:dyDescent="0.2">
      <c r="Y162" s="221"/>
    </row>
    <row r="163" spans="25:25" x14ac:dyDescent="0.2">
      <c r="Y163" s="221"/>
    </row>
    <row r="164" spans="25:25" x14ac:dyDescent="0.2">
      <c r="Y164" s="221"/>
    </row>
    <row r="165" spans="25:25" x14ac:dyDescent="0.2">
      <c r="Y165" s="221"/>
    </row>
    <row r="166" spans="25:25" x14ac:dyDescent="0.2">
      <c r="Y166" s="221"/>
    </row>
    <row r="167" spans="25:25" x14ac:dyDescent="0.2">
      <c r="Y167" s="221"/>
    </row>
    <row r="168" spans="25:25" x14ac:dyDescent="0.2">
      <c r="Y168" s="221"/>
    </row>
  </sheetData>
  <mergeCells count="10">
    <mergeCell ref="M6:T6"/>
    <mergeCell ref="V6:W6"/>
    <mergeCell ref="T28:W29"/>
    <mergeCell ref="U38:U39"/>
    <mergeCell ref="V38:W39"/>
    <mergeCell ref="T17:W19"/>
    <mergeCell ref="M7:W10"/>
    <mergeCell ref="Q11:W12"/>
    <mergeCell ref="Q13:W14"/>
    <mergeCell ref="T23:W24"/>
  </mergeCells>
  <phoneticPr fontId="0" type="noConversion"/>
  <conditionalFormatting sqref="A4 A6 A8 A10 A12 A14 A16 A18 A20 A22 A24 A26 A28 A30 A32 A34 A36 D5 D9 D13 D17 D21 D25 D29 D33 G7 G15 M11 J23 M29 J35 G31 A38 D40 D37 G39">
    <cfRule type="expression" dxfId="188" priority="1" stopIfTrue="1">
      <formula>B4&lt;&gt;""</formula>
    </cfRule>
  </conditionalFormatting>
  <conditionalFormatting sqref="A40">
    <cfRule type="expression" dxfId="187" priority="2" stopIfTrue="1">
      <formula>E40&lt;&gt;""</formula>
    </cfRule>
  </conditionalFormatting>
  <conditionalFormatting sqref="B40">
    <cfRule type="expression" dxfId="186" priority="3" stopIfTrue="1">
      <formula>E40&lt;&gt;""</formula>
    </cfRule>
  </conditionalFormatting>
  <conditionalFormatting sqref="B5 N57 Z5 Z62:Z115 Z41 Z53:Z60 B9 B13 B17 B21 B25 B29 B33 B37 B44 B48 B52 B56 E43 E47 E51 E55 E59 H54 H58 K58 Z45">
    <cfRule type="expression" dxfId="185" priority="4" stopIfTrue="1">
      <formula>B4&lt;&gt;""</formula>
    </cfRule>
  </conditionalFormatting>
  <conditionalFormatting sqref="A5 J58 A9 A13 A17 A21 A25 A29 A33 A37 A44 A48 A52 D47 A56 D43 D51 D55 D59 G54 G58 M57">
    <cfRule type="expression" dxfId="184" priority="5" stopIfTrue="1">
      <formula>B4&lt;&gt;""</formula>
    </cfRule>
  </conditionalFormatting>
  <conditionalFormatting sqref="D7 G49 D15 D23 D31 D39 M48">
    <cfRule type="expression" dxfId="183" priority="6" stopIfTrue="1">
      <formula>E5&lt;&gt;""</formula>
    </cfRule>
  </conditionalFormatting>
  <conditionalFormatting sqref="G11 P52 G35">
    <cfRule type="expression" dxfId="182" priority="7" stopIfTrue="1">
      <formula>H7&lt;&gt;""</formula>
    </cfRule>
  </conditionalFormatting>
  <conditionalFormatting sqref="H11 H35 Q52">
    <cfRule type="expression" dxfId="181" priority="8" stopIfTrue="1">
      <formula>H7&lt;&gt;""</formula>
    </cfRule>
  </conditionalFormatting>
  <conditionalFormatting sqref="J29">
    <cfRule type="expression" dxfId="180" priority="9" stopIfTrue="1">
      <formula>K23&lt;&gt;""</formula>
    </cfRule>
  </conditionalFormatting>
  <conditionalFormatting sqref="K30">
    <cfRule type="expression" dxfId="179" priority="10" stopIfTrue="1">
      <formula>K23&lt;&gt;""</formula>
    </cfRule>
  </conditionalFormatting>
  <conditionalFormatting sqref="Z40">
    <cfRule type="expression" dxfId="178" priority="11" stopIfTrue="1">
      <formula>Q52&lt;&gt;""</formula>
    </cfRule>
  </conditionalFormatting>
  <conditionalFormatting sqref="J46">
    <cfRule type="expression" dxfId="177" priority="12" stopIfTrue="1">
      <formula>N51&lt;&gt;""</formula>
    </cfRule>
  </conditionalFormatting>
  <conditionalFormatting sqref="N20">
    <cfRule type="expression" dxfId="176" priority="13" stopIfTrue="1">
      <formula>N11&lt;&gt;""</formula>
    </cfRule>
  </conditionalFormatting>
  <conditionalFormatting sqref="E7 E15 E23 E31 E39 H49 N48">
    <cfRule type="expression" dxfId="175" priority="14" stopIfTrue="1">
      <formula>E5&lt;&gt;""</formula>
    </cfRule>
  </conditionalFormatting>
  <conditionalFormatting sqref="K29">
    <cfRule type="expression" dxfId="174" priority="15" stopIfTrue="1">
      <formula>K23&lt;&gt;""</formula>
    </cfRule>
  </conditionalFormatting>
  <conditionalFormatting sqref="K46">
    <cfRule type="expression" dxfId="173" priority="16" stopIfTrue="1">
      <formula>K43&lt;&gt;""</formula>
    </cfRule>
  </conditionalFormatting>
  <conditionalFormatting sqref="M20">
    <cfRule type="expression" dxfId="172" priority="17" stopIfTrue="1">
      <formula>N11&lt;&gt;""</formula>
    </cfRule>
  </conditionalFormatting>
  <conditionalFormatting sqref="A43 A45 A47 A49 A51 A53 A55 A57 D42 D44 D46 D48 D50 D52 D54 D56 D58 D60 G47 G51 G53 G55 G57 G59 J43 J49 J57 J59 M46 M51 M56 M58 P48 P56">
    <cfRule type="expression" dxfId="171" priority="18" stopIfTrue="1">
      <formula>B42&lt;&gt;""</formula>
    </cfRule>
  </conditionalFormatting>
  <conditionalFormatting sqref="A60">
    <cfRule type="expression" dxfId="170" priority="19" stopIfTrue="1">
      <formula>E60&lt;&gt;""</formula>
    </cfRule>
  </conditionalFormatting>
  <conditionalFormatting sqref="B60">
    <cfRule type="expression" dxfId="169" priority="20" stopIfTrue="1">
      <formula>E60&lt;&gt;""</formula>
    </cfRule>
  </conditionalFormatting>
  <conditionalFormatting sqref="Z44 Z52 Z61">
    <cfRule type="expression" dxfId="168" priority="21" stopIfTrue="1">
      <formula>#REF!&lt;&gt;""</formula>
    </cfRule>
  </conditionalFormatting>
  <conditionalFormatting sqref="E9 B18 N11 B8 E37 K35 H15 B4 E5 E21 E25 B6 E13 E17 E29 H31 B10 H39 E40 K23 H7 B16 B14 B12 B38 E33 B34 B32 B30 B28 B26 B24 B22 B20 N29 B36">
    <cfRule type="cellIs" dxfId="167" priority="22" stopIfTrue="1" operator="notEqual">
      <formula>""</formula>
    </cfRule>
  </conditionalFormatting>
  <conditionalFormatting sqref="W36">
    <cfRule type="expression" dxfId="166" priority="23" stopIfTrue="1">
      <formula>$V$37&lt;$V$40</formula>
    </cfRule>
  </conditionalFormatting>
  <conditionalFormatting sqref="W37">
    <cfRule type="expression" dxfId="165" priority="24" stopIfTrue="1">
      <formula>$V$37&lt;$V$40</formula>
    </cfRule>
    <cfRule type="expression" dxfId="164" priority="25" stopIfTrue="1">
      <formula>$V$37&gt;$V$40</formula>
    </cfRule>
  </conditionalFormatting>
  <conditionalFormatting sqref="Q11:W12 M7:W10">
    <cfRule type="expression" dxfId="163" priority="26" stopIfTrue="1">
      <formula>$W$2=1</formula>
    </cfRule>
    <cfRule type="expression" dxfId="162" priority="27" stopIfTrue="1">
      <formula>$W$2=2</formula>
    </cfRule>
  </conditionalFormatting>
  <conditionalFormatting sqref="Q13:W14">
    <cfRule type="expression" dxfId="161" priority="28" stopIfTrue="1">
      <formula>$W$2=1</formula>
    </cfRule>
    <cfRule type="expression" dxfId="160" priority="29" stopIfTrue="1">
      <formula>$W$2=2</formula>
    </cfRule>
  </conditionalFormatting>
  <conditionalFormatting sqref="B27">
    <cfRule type="expression" priority="30" stopIfTrue="1">
      <formula>$B$4=0</formula>
    </cfRule>
    <cfRule type="expression" priority="31" stopIfTrue="1">
      <formula>$B$6=0</formula>
    </cfRule>
  </conditionalFormatting>
  <conditionalFormatting sqref="B43 B45 B47 B49 B51 B53 B55 B57 E42 E44 E46 E48 E50 E52 E54 E56 E58 E60 H47 H51 H53 H55 H57 H59 K43 K49 K57 K59 N46 N51 N56 N58 Q48 Q56">
    <cfRule type="cellIs" dxfId="159" priority="32" stopIfTrue="1" operator="notEqual">
      <formula>""</formula>
    </cfRule>
  </conditionalFormatting>
  <conditionalFormatting sqref="W40">
    <cfRule type="expression" dxfId="158" priority="33" stopIfTrue="1">
      <formula>V37&lt;V40</formula>
    </cfRule>
  </conditionalFormatting>
  <printOptions horizontalCentered="1" verticalCentered="1"/>
  <pageMargins left="0.75" right="0.75" top="0" bottom="0" header="0" footer="0"/>
  <pageSetup paperSize="8" scale="44" orientation="portrait" horizontalDpi="300" verticalDpi="30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9"/>
  <dimension ref="A2:AA168"/>
  <sheetViews>
    <sheetView zoomScale="75" zoomScaleNormal="100" zoomScaleSheetLayoutView="100" workbookViewId="0">
      <selection activeCell="E51" sqref="E51"/>
    </sheetView>
  </sheetViews>
  <sheetFormatPr defaultRowHeight="12.75" x14ac:dyDescent="0.2"/>
  <cols>
    <col min="1" max="1" width="20" style="208" customWidth="1"/>
    <col min="2" max="2" width="5.625" style="209" customWidth="1"/>
    <col min="3" max="3" width="6.25" style="209" customWidth="1"/>
    <col min="4" max="4" width="20" style="210" customWidth="1"/>
    <col min="5" max="5" width="5.625" style="211" customWidth="1"/>
    <col min="6" max="6" width="6.25" style="211" customWidth="1"/>
    <col min="7" max="7" width="20" style="210" customWidth="1"/>
    <col min="8" max="8" width="5.625" style="211" customWidth="1"/>
    <col min="9" max="9" width="6.25" style="211" customWidth="1"/>
    <col min="10" max="10" width="20" style="210" customWidth="1"/>
    <col min="11" max="11" width="5.625" style="211" customWidth="1"/>
    <col min="12" max="12" width="6.25" style="211" customWidth="1"/>
    <col min="13" max="13" width="20" style="210" customWidth="1"/>
    <col min="14" max="14" width="5.625" style="210" customWidth="1"/>
    <col min="15" max="15" width="6.25" style="210" customWidth="1"/>
    <col min="16" max="16" width="20" style="210" customWidth="1"/>
    <col min="17" max="17" width="5.625" style="210" customWidth="1"/>
    <col min="18" max="18" width="4.375" style="210" customWidth="1"/>
    <col min="19" max="19" width="4.25" style="211" customWidth="1"/>
    <col min="20" max="20" width="6.25" style="211" customWidth="1"/>
    <col min="21" max="21" width="20" style="210" customWidth="1"/>
    <col min="22" max="22" width="4.375" style="210" customWidth="1"/>
    <col min="23" max="23" width="4.375" style="211" customWidth="1"/>
    <col min="24" max="24" width="25.25" style="214" customWidth="1"/>
    <col min="25" max="25" width="4.375" style="215" customWidth="1"/>
    <col min="26" max="26" width="5.625" style="215" bestFit="1" customWidth="1"/>
    <col min="27" max="42" width="5" style="214" customWidth="1"/>
    <col min="43" max="16384" width="9" style="214"/>
  </cols>
  <sheetData>
    <row r="2" spans="1:26" s="206" customFormat="1" ht="15" customHeight="1" x14ac:dyDescent="0.2">
      <c r="A2" s="203" t="s">
        <v>18</v>
      </c>
      <c r="B2" s="203"/>
      <c r="C2" s="203"/>
      <c r="D2" s="203" t="s">
        <v>19</v>
      </c>
      <c r="E2" s="203"/>
      <c r="F2" s="203"/>
      <c r="G2" s="203" t="s">
        <v>20</v>
      </c>
      <c r="H2" s="203"/>
      <c r="I2" s="203"/>
      <c r="J2" s="203" t="s">
        <v>21</v>
      </c>
      <c r="K2" s="203"/>
      <c r="L2" s="203"/>
      <c r="M2" s="203" t="s">
        <v>22</v>
      </c>
      <c r="N2" s="203"/>
      <c r="O2" s="203"/>
      <c r="P2" s="203" t="s">
        <v>23</v>
      </c>
      <c r="Q2" s="203"/>
      <c r="R2" s="203"/>
      <c r="S2" s="203"/>
      <c r="T2" s="203"/>
      <c r="U2" s="203" t="s">
        <v>57</v>
      </c>
      <c r="V2" s="204"/>
      <c r="W2" s="205">
        <f>CONFIGURAR!B14</f>
        <v>2</v>
      </c>
      <c r="Y2" s="207"/>
      <c r="Z2" s="207"/>
    </row>
    <row r="3" spans="1:26" ht="26.25" customHeight="1" x14ac:dyDescent="0.2">
      <c r="J3" s="212"/>
      <c r="K3" s="213"/>
      <c r="L3" s="213"/>
      <c r="M3" s="213"/>
      <c r="N3" s="213"/>
      <c r="O3" s="213"/>
      <c r="P3" s="213"/>
      <c r="Q3" s="213"/>
      <c r="R3" s="213"/>
      <c r="S3" s="213"/>
      <c r="T3" s="213"/>
      <c r="U3" s="213"/>
      <c r="V3" s="213"/>
      <c r="W3" s="213"/>
    </row>
    <row r="4" spans="1:26" s="221" customFormat="1" ht="23.25" customHeight="1" x14ac:dyDescent="0.2">
      <c r="A4" s="216" t="str">
        <f>CONFIGURAR!AD8</f>
        <v>C</v>
      </c>
      <c r="B4" s="217"/>
      <c r="C4" s="218"/>
      <c r="D4" s="219"/>
      <c r="E4" s="220"/>
      <c r="F4" s="220"/>
      <c r="G4" s="219"/>
      <c r="H4" s="220"/>
      <c r="I4" s="220"/>
      <c r="J4" s="213"/>
      <c r="L4" s="213"/>
      <c r="M4" s="213"/>
      <c r="N4" s="213"/>
      <c r="O4" s="213"/>
      <c r="P4" s="213"/>
      <c r="Q4" s="213"/>
      <c r="R4" s="213"/>
      <c r="S4" s="213"/>
      <c r="T4" s="213"/>
      <c r="U4" s="213"/>
      <c r="V4" s="213"/>
      <c r="W4" s="213"/>
    </row>
    <row r="5" spans="1:26" s="221" customFormat="1" ht="23.25" customHeight="1" x14ac:dyDescent="0.2">
      <c r="A5" s="222" t="s">
        <v>0</v>
      </c>
      <c r="B5" s="223">
        <f>CONFIGURAR!$D$18</f>
        <v>0.41666666666666669</v>
      </c>
      <c r="C5" s="224"/>
      <c r="D5" s="216" t="str">
        <f>IF(B4="","Vencedor Jogo 1",IF(B4&gt;B6,A4,A6))</f>
        <v>Vencedor Jogo 1</v>
      </c>
      <c r="E5" s="217"/>
      <c r="F5" s="225"/>
      <c r="G5" s="226"/>
      <c r="H5" s="218"/>
      <c r="I5" s="218"/>
      <c r="J5" s="219"/>
      <c r="K5" s="213"/>
      <c r="L5" s="220"/>
      <c r="M5" s="219"/>
      <c r="N5" s="219"/>
      <c r="O5" s="219"/>
      <c r="P5" s="219"/>
      <c r="Q5" s="219"/>
      <c r="R5" s="219"/>
      <c r="S5" s="220"/>
      <c r="T5" s="220"/>
      <c r="U5" s="219"/>
      <c r="V5" s="227"/>
      <c r="W5" s="219"/>
      <c r="Z5" s="223"/>
    </row>
    <row r="6" spans="1:26" s="221" customFormat="1" ht="23.25" customHeight="1" x14ac:dyDescent="0.2">
      <c r="A6" s="216" t="str">
        <f>CONFIGURAR!AD18</f>
        <v>M</v>
      </c>
      <c r="B6" s="217"/>
      <c r="C6" s="218"/>
      <c r="D6" s="219"/>
      <c r="E6" s="220"/>
      <c r="F6" s="220"/>
      <c r="G6" s="219"/>
      <c r="H6" s="220"/>
      <c r="I6" s="220"/>
      <c r="J6" s="219"/>
      <c r="K6" s="220"/>
      <c r="L6" s="220"/>
      <c r="M6" s="318" t="str">
        <f>IF(CONFIGURAR!$D$11="","",CONFIGURAR!$D$11)</f>
        <v>Xxx Xxxxxxxxxxx</v>
      </c>
      <c r="N6" s="318"/>
      <c r="O6" s="318"/>
      <c r="P6" s="318"/>
      <c r="Q6" s="318"/>
      <c r="R6" s="318"/>
      <c r="S6" s="318"/>
      <c r="T6" s="318"/>
      <c r="U6" s="294">
        <f>IF(CONFIGURAR!$G$10="","",CONFIGURAR!$G$10)</f>
        <v>43523</v>
      </c>
      <c r="V6" s="319">
        <f>IF(CONFIGURAR!$D$10="","",CONFIGURAR!$D$10)</f>
        <v>0.41666666666666669</v>
      </c>
      <c r="W6" s="319"/>
    </row>
    <row r="7" spans="1:26" s="221" customFormat="1" ht="23.25" customHeight="1" x14ac:dyDescent="0.2">
      <c r="A7" s="228"/>
      <c r="B7" s="229"/>
      <c r="C7" s="229"/>
      <c r="D7" s="222" t="s">
        <v>29</v>
      </c>
      <c r="E7" s="223">
        <f>IF(CONFIGURAR!$D$21=1,CONFIGURAR!AD54,IF(CONFIGURAR!$D$21=2,CONFIGURAR!AE54,IF(CONFIGURAR!$D$21=3,CONFIGURAR!AF54,IF(CONFIGURAR!$D$21=4,CONFIGURAR!AG54,IF(CONFIGURAR!$D$21=5,CONFIGURAR!AH54,IF(CONFIGURAR!$D$21=6,CONFIGURAR!AI54,""))))))</f>
        <v>0.46180555555555541</v>
      </c>
      <c r="F7" s="230"/>
      <c r="G7" s="216" t="str">
        <f>IF(E5="","Vencedor Jogo 14",IF(E5&gt;E9,D5,D9))</f>
        <v>Vencedor Jogo 14</v>
      </c>
      <c r="H7" s="217"/>
      <c r="I7" s="225"/>
      <c r="J7" s="219"/>
      <c r="M7" s="322" t="str">
        <f>CONFIGURAR!$D$9</f>
        <v>Xxxxxxx Xxxxxxxxxxxxx</v>
      </c>
      <c r="N7" s="322"/>
      <c r="O7" s="322"/>
      <c r="P7" s="322"/>
      <c r="Q7" s="322"/>
      <c r="R7" s="322"/>
      <c r="S7" s="322"/>
      <c r="T7" s="322"/>
      <c r="U7" s="322"/>
      <c r="V7" s="322"/>
      <c r="W7" s="322"/>
    </row>
    <row r="8" spans="1:26" s="221" customFormat="1" ht="23.25" customHeight="1" x14ac:dyDescent="0.2">
      <c r="A8" s="216" t="str">
        <f>CONFIGURAR!AD21</f>
        <v>P</v>
      </c>
      <c r="B8" s="217"/>
      <c r="C8" s="218"/>
      <c r="D8" s="219"/>
      <c r="E8" s="220"/>
      <c r="F8" s="220"/>
      <c r="I8" s="224"/>
      <c r="M8" s="322"/>
      <c r="N8" s="322"/>
      <c r="O8" s="322"/>
      <c r="P8" s="322"/>
      <c r="Q8" s="322"/>
      <c r="R8" s="322"/>
      <c r="S8" s="322"/>
      <c r="T8" s="322"/>
      <c r="U8" s="322"/>
      <c r="V8" s="322"/>
      <c r="W8" s="322"/>
    </row>
    <row r="9" spans="1:26" s="221" customFormat="1" ht="23.25" customHeight="1" x14ac:dyDescent="0.2">
      <c r="A9" s="222" t="s">
        <v>1</v>
      </c>
      <c r="B9" s="223">
        <f>IF(CONFIGURAR!$D$21=1,CONFIGURAR!AD42,IF(CONFIGURAR!$D$21=2,CONFIGURAR!AE42,IF(CONFIGURAR!$D$21=3,CONFIGURAR!AF42,IF(CONFIGURAR!$D$21=4,CONFIGURAR!AG42,IF(CONFIGURAR!$D$21=5,CONFIGURAR!AH42,IF(CONFIGURAR!$D$21=6,CONFIGURAR!AI42,""))))))</f>
        <v>0.4201388888888889</v>
      </c>
      <c r="C9" s="224"/>
      <c r="D9" s="216" t="str">
        <f>IF(B8="","Vencedor Jogo 2",IF(B8&gt;B10,A8,A10))</f>
        <v>Vencedor Jogo 2</v>
      </c>
      <c r="E9" s="217"/>
      <c r="F9" s="218"/>
      <c r="G9" s="219"/>
      <c r="H9" s="220"/>
      <c r="I9" s="220"/>
      <c r="J9" s="219"/>
      <c r="K9" s="220"/>
      <c r="L9" s="220"/>
      <c r="M9" s="322"/>
      <c r="N9" s="322"/>
      <c r="O9" s="322"/>
      <c r="P9" s="322"/>
      <c r="Q9" s="322"/>
      <c r="R9" s="322"/>
      <c r="S9" s="322"/>
      <c r="T9" s="322"/>
      <c r="U9" s="322"/>
      <c r="V9" s="322"/>
      <c r="W9" s="322"/>
    </row>
    <row r="10" spans="1:26" s="221" customFormat="1" ht="23.25" customHeight="1" x14ac:dyDescent="0.2">
      <c r="A10" s="216" t="str">
        <f>CONFIGURAR!AD13</f>
        <v>H</v>
      </c>
      <c r="B10" s="217"/>
      <c r="C10" s="218"/>
      <c r="D10" s="219"/>
      <c r="E10" s="220"/>
      <c r="F10" s="220"/>
      <c r="G10" s="219"/>
      <c r="H10" s="220"/>
      <c r="I10" s="220"/>
      <c r="J10" s="219"/>
      <c r="K10" s="220"/>
      <c r="L10" s="220"/>
      <c r="M10" s="322"/>
      <c r="N10" s="322"/>
      <c r="O10" s="322"/>
      <c r="P10" s="322"/>
      <c r="Q10" s="322"/>
      <c r="R10" s="322"/>
      <c r="S10" s="322"/>
      <c r="T10" s="322"/>
      <c r="U10" s="322"/>
      <c r="V10" s="322"/>
      <c r="W10" s="322"/>
    </row>
    <row r="11" spans="1:26" s="221" customFormat="1" ht="23.25" customHeight="1" x14ac:dyDescent="0.2">
      <c r="A11" s="228"/>
      <c r="B11" s="229"/>
      <c r="C11" s="229"/>
      <c r="F11" s="224"/>
      <c r="G11" s="222" t="s">
        <v>34</v>
      </c>
      <c r="H11" s="223">
        <f>IF(CONFIGURAR!$D$21=1,CONFIGURAR!AD62,IF(CONFIGURAR!$D$21=2,CONFIGURAR!AE62,IF(CONFIGURAR!$D$21=3,CONFIGURAR!AF62,IF(CONFIGURAR!$D$21=4,CONFIGURAR!AG62,IF(CONFIGURAR!$D$21=5,CONFIGURAR!AH62,IF(CONFIGURAR!$D$21=6,CONFIGURAR!AI62,""))))))</f>
        <v>0.48958333333333309</v>
      </c>
      <c r="I11" s="218"/>
      <c r="L11" s="218"/>
      <c r="M11" s="216" t="str">
        <f>IF(H7="","Vencedor Jogo 22",IF(H7&gt;H15,G7,G15))</f>
        <v>Vencedor Jogo 22</v>
      </c>
      <c r="N11" s="217"/>
      <c r="O11" s="231"/>
      <c r="P11" s="231"/>
      <c r="Q11" s="326" t="str">
        <f>UPPER(CONFIGURAR!$D$12)</f>
        <v>XXXXXXXX</v>
      </c>
      <c r="R11" s="326"/>
      <c r="S11" s="326"/>
      <c r="T11" s="326"/>
      <c r="U11" s="326"/>
      <c r="V11" s="326"/>
      <c r="W11" s="326"/>
      <c r="X11" s="232"/>
    </row>
    <row r="12" spans="1:26" s="221" customFormat="1" ht="23.25" customHeight="1" x14ac:dyDescent="0.2">
      <c r="A12" s="216" t="str">
        <f>CONFIGURAR!AD6</f>
        <v>A</v>
      </c>
      <c r="B12" s="217"/>
      <c r="C12" s="218"/>
      <c r="D12" s="219"/>
      <c r="E12" s="220"/>
      <c r="F12" s="220"/>
      <c r="G12" s="219"/>
      <c r="H12" s="220"/>
      <c r="I12" s="220"/>
      <c r="J12" s="219"/>
      <c r="K12" s="220"/>
      <c r="L12" s="220"/>
      <c r="M12" s="219"/>
      <c r="N12" s="219"/>
      <c r="O12" s="219"/>
      <c r="P12" s="219"/>
      <c r="Q12" s="326"/>
      <c r="R12" s="326"/>
      <c r="S12" s="326"/>
      <c r="T12" s="326"/>
      <c r="U12" s="326"/>
      <c r="V12" s="326"/>
      <c r="W12" s="326"/>
      <c r="X12" s="232"/>
    </row>
    <row r="13" spans="1:26" s="221" customFormat="1" ht="23.25" customHeight="1" x14ac:dyDescent="0.2">
      <c r="A13" s="222" t="s">
        <v>4</v>
      </c>
      <c r="B13" s="223">
        <f>IF(CONFIGURAR!$D$21=1,CONFIGURAR!AD43,IF(CONFIGURAR!$D$21=2,CONFIGURAR!AE43,IF(CONFIGURAR!$D$21=3,CONFIGURAR!AF43,IF(CONFIGURAR!$D$21=4,CONFIGURAR!AG43,IF(CONFIGURAR!$D$21=5,CONFIGURAR!AH43,IF(CONFIGURAR!$D$21=6,CONFIGURAR!AI43,""))))))</f>
        <v>0.4236111111111111</v>
      </c>
      <c r="C13" s="224"/>
      <c r="D13" s="216" t="str">
        <f>IF(B12="","Vencedor Jogo 3",IF(B12&gt;B14,A12,A14))</f>
        <v>Vencedor Jogo 3</v>
      </c>
      <c r="E13" s="217"/>
      <c r="F13" s="218"/>
      <c r="G13" s="219"/>
      <c r="H13" s="220"/>
      <c r="I13" s="220"/>
      <c r="J13" s="233"/>
      <c r="K13" s="220"/>
      <c r="L13" s="220"/>
      <c r="M13" s="219"/>
      <c r="N13" s="219"/>
      <c r="O13" s="219"/>
      <c r="P13" s="219"/>
      <c r="Q13" s="327" t="str">
        <f>IF(W2=1,"FEMININO",IF(W2=2,"MASCULINO",IF(W2=3,"MISTO","")))</f>
        <v>MASCULINO</v>
      </c>
      <c r="R13" s="327"/>
      <c r="S13" s="327"/>
      <c r="T13" s="327"/>
      <c r="U13" s="327"/>
      <c r="V13" s="327"/>
      <c r="W13" s="327"/>
    </row>
    <row r="14" spans="1:26" s="221" customFormat="1" ht="23.25" customHeight="1" x14ac:dyDescent="0.2">
      <c r="A14" s="216" t="str">
        <f>CONFIGURAR!AD12</f>
        <v>G</v>
      </c>
      <c r="B14" s="217"/>
      <c r="C14" s="218"/>
      <c r="D14" s="219"/>
      <c r="E14" s="220"/>
      <c r="F14" s="220"/>
      <c r="G14" s="219"/>
      <c r="H14" s="220"/>
      <c r="I14" s="220"/>
      <c r="J14" s="219"/>
      <c r="K14" s="220"/>
      <c r="L14" s="220"/>
      <c r="M14" s="219"/>
      <c r="N14" s="219"/>
      <c r="O14" s="219"/>
      <c r="P14" s="219"/>
      <c r="Q14" s="327"/>
      <c r="R14" s="327"/>
      <c r="S14" s="327"/>
      <c r="T14" s="327"/>
      <c r="U14" s="327"/>
      <c r="V14" s="327"/>
      <c r="W14" s="327"/>
    </row>
    <row r="15" spans="1:26" s="221" customFormat="1" ht="23.25" customHeight="1" x14ac:dyDescent="0.2">
      <c r="A15" s="228"/>
      <c r="B15" s="229"/>
      <c r="C15" s="229"/>
      <c r="D15" s="222" t="s">
        <v>11</v>
      </c>
      <c r="E15" s="223">
        <f>IF(CONFIGURAR!$D$21=1,CONFIGURAR!AD55,IF(CONFIGURAR!$D$21=2,CONFIGURAR!AE55,IF(CONFIGURAR!$D$21=3,CONFIGURAR!AF55,IF(CONFIGURAR!$D$21=4,CONFIGURAR!AG55,IF(CONFIGURAR!$D$21=5,CONFIGURAR!AH55,IF(CONFIGURAR!$D$21=6,CONFIGURAR!AI55,""))))))</f>
        <v>0.46527777777777762</v>
      </c>
      <c r="F15" s="230"/>
      <c r="G15" s="216" t="str">
        <f>IF(E13="","Vencedor Jogo 15",IF(E13&gt;E17,D13,D17))</f>
        <v>Vencedor Jogo 15</v>
      </c>
      <c r="H15" s="217"/>
      <c r="I15" s="225"/>
      <c r="L15" s="224"/>
      <c r="S15" s="220"/>
      <c r="X15" s="234"/>
    </row>
    <row r="16" spans="1:26" s="221" customFormat="1" ht="23.25" customHeight="1" x14ac:dyDescent="0.2">
      <c r="A16" s="216" t="str">
        <f>CONFIGURAR!AD14</f>
        <v>I</v>
      </c>
      <c r="B16" s="217"/>
      <c r="C16" s="218"/>
      <c r="D16" s="219"/>
      <c r="E16" s="220"/>
      <c r="F16" s="220"/>
      <c r="G16" s="219"/>
      <c r="H16" s="220"/>
      <c r="I16" s="220"/>
      <c r="J16" s="219"/>
      <c r="K16" s="220"/>
      <c r="L16" s="220"/>
      <c r="M16" s="219"/>
      <c r="N16" s="219"/>
      <c r="O16" s="219"/>
      <c r="P16" s="219"/>
      <c r="Q16" s="219"/>
      <c r="R16" s="219"/>
      <c r="S16" s="220"/>
      <c r="T16" s="220"/>
      <c r="U16" s="235"/>
      <c r="V16" s="235"/>
      <c r="W16" s="236"/>
      <c r="X16" s="234"/>
    </row>
    <row r="17" spans="1:27" s="221" customFormat="1" ht="23.25" customHeight="1" x14ac:dyDescent="0.2">
      <c r="A17" s="222" t="s">
        <v>2</v>
      </c>
      <c r="B17" s="223">
        <f>IF(CONFIGURAR!$D$21=1,CONFIGURAR!AD44,IF(CONFIGURAR!$D$21=2,CONFIGURAR!AE44,IF(CONFIGURAR!$D$21=3,CONFIGURAR!AF44,IF(CONFIGURAR!$D$21=4,CONFIGURAR!AG44,IF(CONFIGURAR!$D$21=5,CONFIGURAR!AH44,IF(CONFIGURAR!$D$21=6,CONFIGURAR!AI44,""))))))</f>
        <v>0.42708333333333331</v>
      </c>
      <c r="C17" s="224"/>
      <c r="D17" s="216" t="str">
        <f>IF(B16="","Vencedor Jogo 4",IF(B16&gt;B18,A16,A18))</f>
        <v>Vencedor Jogo 4</v>
      </c>
      <c r="E17" s="217"/>
      <c r="F17" s="218"/>
      <c r="G17" s="219"/>
      <c r="H17" s="220"/>
      <c r="I17" s="220"/>
      <c r="J17" s="237"/>
      <c r="K17" s="224"/>
      <c r="L17" s="220"/>
      <c r="S17" s="238"/>
      <c r="T17" s="325" t="str">
        <f>IF(W37&lt;W40,U40,IF(W37&gt;W40,U37,(IF(V37="","Vencedor da Final",IF(V37&gt;V40,U37,IF(V37&lt;V40,"Vencedor Finalíssima",U37))))))</f>
        <v>Vencedor da Final</v>
      </c>
      <c r="U17" s="325"/>
      <c r="V17" s="325"/>
      <c r="W17" s="325"/>
      <c r="X17" s="234"/>
    </row>
    <row r="18" spans="1:27" s="221" customFormat="1" ht="23.25" customHeight="1" x14ac:dyDescent="0.2">
      <c r="A18" s="216" t="str">
        <f>CONFIGURAR!AD15</f>
        <v>J</v>
      </c>
      <c r="B18" s="217"/>
      <c r="C18" s="218"/>
      <c r="D18" s="219"/>
      <c r="E18" s="220"/>
      <c r="F18" s="220"/>
      <c r="G18" s="219"/>
      <c r="H18" s="220"/>
      <c r="K18" s="220"/>
      <c r="L18" s="220"/>
      <c r="O18" s="219"/>
      <c r="P18" s="219"/>
      <c r="Q18" s="219"/>
      <c r="R18" s="219"/>
      <c r="S18" s="220"/>
      <c r="T18" s="325"/>
      <c r="U18" s="325"/>
      <c r="V18" s="325"/>
      <c r="W18" s="325"/>
    </row>
    <row r="19" spans="1:27" s="221" customFormat="1" ht="23.25" customHeight="1" x14ac:dyDescent="0.2">
      <c r="A19" s="228"/>
      <c r="B19" s="229"/>
      <c r="C19" s="229"/>
      <c r="F19" s="224"/>
      <c r="H19" s="218"/>
      <c r="J19" s="239"/>
      <c r="K19" s="230"/>
      <c r="L19" s="230"/>
      <c r="M19" s="222" t="s">
        <v>41</v>
      </c>
      <c r="N19" s="223">
        <f>IF(CONFIGURAR!$D$21=1,CONFIGURAR!AD70,IF(CONFIGURAR!$D$21=2,CONFIGURAR!AE70,IF(CONFIGURAR!$D$21=3,CONFIGURAR!AF70,IF(CONFIGURAR!$D$21=4,CONFIGURAR!AG70,IF(CONFIGURAR!$D$21=5,CONFIGURAR!AH70+CONFIGURAR!$D$19+CONFIGURAR!$D$20,IF(CONFIGURAR!$D$21=6,CONFIGURAR!AI70+CONFIGURAR!$D$19+CONFIGURAR!$D$20,""))))))</f>
        <v>0.51736111111111083</v>
      </c>
      <c r="O19" s="226"/>
      <c r="P19" s="226"/>
      <c r="Q19" s="226"/>
      <c r="R19" s="226"/>
      <c r="S19" s="225"/>
      <c r="T19" s="325"/>
      <c r="U19" s="325"/>
      <c r="V19" s="325"/>
      <c r="W19" s="325"/>
    </row>
    <row r="20" spans="1:27" s="221" customFormat="1" ht="23.25" customHeight="1" x14ac:dyDescent="0.2">
      <c r="A20" s="216" t="str">
        <f>CONFIGURAR!AD7</f>
        <v>B</v>
      </c>
      <c r="B20" s="217"/>
      <c r="C20" s="218"/>
      <c r="D20" s="219"/>
      <c r="E20" s="220"/>
      <c r="F20" s="220"/>
      <c r="G20" s="219"/>
      <c r="H20" s="220"/>
      <c r="I20" s="220"/>
      <c r="J20" s="219"/>
      <c r="K20" s="220"/>
      <c r="L20" s="220"/>
    </row>
    <row r="21" spans="1:27" s="221" customFormat="1" ht="23.25" customHeight="1" x14ac:dyDescent="0.2">
      <c r="A21" s="222" t="s">
        <v>5</v>
      </c>
      <c r="B21" s="223">
        <f>IF(CONFIGURAR!$D$21=1,CONFIGURAR!AD45,IF(CONFIGURAR!$D$21=2,CONFIGURAR!AE45,IF(CONFIGURAR!$D$21=3,CONFIGURAR!AF45,IF(CONFIGURAR!$D$21=4,CONFIGURAR!AG45,IF(CONFIGURAR!$D$21=5,CONFIGURAR!AH45,IF(CONFIGURAR!$D$21=6,CONFIGURAR!AI45,""))))))</f>
        <v>0.43055555555555552</v>
      </c>
      <c r="C21" s="224"/>
      <c r="D21" s="216" t="str">
        <f>IF(B20="","Vencedor Jogo 5",IF(B20&gt;B22,A20,A22))</f>
        <v>Vencedor Jogo 5</v>
      </c>
      <c r="E21" s="217"/>
      <c r="F21" s="218"/>
      <c r="G21" s="219"/>
      <c r="H21" s="220"/>
      <c r="I21" s="220"/>
      <c r="J21" s="219"/>
      <c r="K21" s="220"/>
      <c r="L21" s="220"/>
      <c r="X21" s="234"/>
    </row>
    <row r="22" spans="1:27" s="221" customFormat="1" ht="23.25" customHeight="1" x14ac:dyDescent="0.2">
      <c r="A22" s="216" t="str">
        <f>CONFIGURAR!AD17</f>
        <v>L</v>
      </c>
      <c r="B22" s="217"/>
      <c r="C22" s="218"/>
      <c r="D22" s="219"/>
      <c r="E22" s="220"/>
      <c r="F22" s="220"/>
      <c r="G22" s="237"/>
      <c r="H22" s="224"/>
      <c r="I22" s="220"/>
      <c r="J22" s="219"/>
      <c r="K22" s="220"/>
      <c r="L22" s="220"/>
      <c r="M22" s="219"/>
      <c r="N22" s="219"/>
      <c r="O22" s="219"/>
      <c r="P22" s="219"/>
      <c r="Q22" s="219"/>
      <c r="R22" s="219"/>
      <c r="S22" s="220"/>
      <c r="T22" s="220"/>
      <c r="U22" s="219"/>
      <c r="V22" s="219"/>
      <c r="W22" s="220"/>
      <c r="X22" s="234"/>
    </row>
    <row r="23" spans="1:27" s="221" customFormat="1" ht="23.25" customHeight="1" x14ac:dyDescent="0.2">
      <c r="A23" s="228"/>
      <c r="B23" s="229"/>
      <c r="C23" s="229"/>
      <c r="D23" s="222" t="s">
        <v>12</v>
      </c>
      <c r="E23" s="223">
        <f>IF(CONFIGURAR!$D$21=1,CONFIGURAR!AD56,IF(CONFIGURAR!$D$21=2,CONFIGURAR!AE56,IF(CONFIGURAR!$D$21=3,CONFIGURAR!AF56,IF(CONFIGURAR!$D$21=4,CONFIGURAR!AG56,IF(CONFIGURAR!$D$21=5,CONFIGURAR!AH56,IF(CONFIGURAR!$D$21=6,CONFIGURAR!AI56,""))))))</f>
        <v>0.46874999999999983</v>
      </c>
      <c r="F23" s="230"/>
      <c r="I23" s="240"/>
      <c r="J23" s="216" t="str">
        <f>IF(E21="","Vencedor Jogo 16",IF(E21&gt;E25,D21,D25))</f>
        <v>Vencedor Jogo 16</v>
      </c>
      <c r="K23" s="217"/>
      <c r="L23" s="218"/>
      <c r="M23" s="219"/>
      <c r="N23" s="219"/>
      <c r="O23" s="219"/>
      <c r="P23" s="219"/>
      <c r="Q23" s="219"/>
      <c r="R23" s="219"/>
      <c r="S23" s="220"/>
      <c r="T23" s="320" t="str">
        <f>IF(W37&lt;W40,U37,IF(W37&gt;W40,U40,IF(V37="","Derrotado da Final",IF(V37&lt;V40,"Derrotado Finalíssima",IF(V37&lt;V40,U37,U40)))))</f>
        <v>Derrotado da Final</v>
      </c>
      <c r="U23" s="320"/>
      <c r="V23" s="320"/>
      <c r="W23" s="320"/>
      <c r="X23" s="234"/>
    </row>
    <row r="24" spans="1:27" s="221" customFormat="1" ht="23.25" customHeight="1" x14ac:dyDescent="0.2">
      <c r="A24" s="216" t="str">
        <f>CONFIGURAR!AD11</f>
        <v>F</v>
      </c>
      <c r="B24" s="217"/>
      <c r="C24" s="218"/>
      <c r="D24" s="219"/>
      <c r="E24" s="220"/>
      <c r="F24" s="220"/>
      <c r="G24" s="219"/>
      <c r="H24" s="220"/>
      <c r="I24" s="220"/>
      <c r="J24" s="219"/>
      <c r="K24" s="220"/>
      <c r="L24" s="220"/>
      <c r="M24" s="219"/>
      <c r="N24" s="219"/>
      <c r="O24" s="219"/>
      <c r="P24" s="219"/>
      <c r="Q24" s="219"/>
      <c r="R24" s="219"/>
      <c r="S24" s="220"/>
      <c r="T24" s="320"/>
      <c r="U24" s="320"/>
      <c r="V24" s="320"/>
      <c r="W24" s="320"/>
      <c r="X24" s="234"/>
      <c r="AA24" s="234"/>
    </row>
    <row r="25" spans="1:27" s="221" customFormat="1" ht="23.25" customHeight="1" x14ac:dyDescent="0.2">
      <c r="A25" s="222" t="s">
        <v>3</v>
      </c>
      <c r="B25" s="223">
        <f>IF(CONFIGURAR!$D$21=1,CONFIGURAR!AD46,IF(CONFIGURAR!$D$21=2,CONFIGURAR!AE46,IF(CONFIGURAR!$D$21=3,CONFIGURAR!AF46,IF(CONFIGURAR!$D$21=4,CONFIGURAR!AG46,IF(CONFIGURAR!$D$21=5,CONFIGURAR!AH46,IF(CONFIGURAR!$D$21=6,CONFIGURAR!AI46,""))))))</f>
        <v>0.43402777777777773</v>
      </c>
      <c r="C25" s="224"/>
      <c r="D25" s="216" t="str">
        <f>IF(B24="","Vencedor Jogo 6",IF(B24&gt;B26,A24,A26))</f>
        <v>Vencedor Jogo 6</v>
      </c>
      <c r="E25" s="217"/>
      <c r="F25" s="218"/>
      <c r="G25" s="219"/>
      <c r="H25" s="220"/>
      <c r="I25" s="220"/>
      <c r="J25" s="219"/>
      <c r="K25" s="220"/>
      <c r="L25" s="220"/>
      <c r="M25" s="219"/>
      <c r="N25" s="219"/>
      <c r="O25" s="219"/>
      <c r="P25" s="219"/>
      <c r="Q25" s="219"/>
      <c r="R25" s="219"/>
      <c r="S25" s="220"/>
      <c r="T25" s="220"/>
      <c r="X25" s="234"/>
      <c r="AA25" s="234"/>
    </row>
    <row r="26" spans="1:27" s="221" customFormat="1" ht="23.25" customHeight="1" x14ac:dyDescent="0.2">
      <c r="A26" s="216" t="str">
        <f>CONFIGURAR!AD23</f>
        <v>R</v>
      </c>
      <c r="B26" s="217"/>
      <c r="C26" s="218"/>
      <c r="D26" s="219"/>
      <c r="E26" s="220"/>
      <c r="F26" s="220"/>
      <c r="G26" s="219"/>
      <c r="H26" s="220"/>
      <c r="I26" s="220"/>
      <c r="J26" s="219"/>
      <c r="K26" s="220"/>
      <c r="L26" s="220"/>
      <c r="M26" s="219"/>
      <c r="N26" s="219"/>
      <c r="O26" s="219"/>
      <c r="P26" s="219"/>
      <c r="Q26" s="219"/>
      <c r="R26" s="219"/>
      <c r="S26" s="220"/>
      <c r="T26" s="220"/>
      <c r="W26" s="241"/>
      <c r="X26" s="234"/>
      <c r="AA26" s="234"/>
    </row>
    <row r="27" spans="1:27" s="221" customFormat="1" ht="23.25" customHeight="1" x14ac:dyDescent="0.2">
      <c r="A27" s="242"/>
      <c r="B27" s="218"/>
      <c r="C27" s="218"/>
      <c r="D27" s="219"/>
      <c r="E27" s="220"/>
      <c r="F27" s="220"/>
      <c r="G27" s="243"/>
      <c r="H27" s="220"/>
      <c r="I27" s="220"/>
      <c r="L27" s="220"/>
      <c r="N27" s="219"/>
      <c r="O27" s="219"/>
      <c r="P27" s="219"/>
      <c r="Q27" s="219"/>
      <c r="R27" s="219"/>
      <c r="S27" s="220"/>
      <c r="T27" s="220"/>
      <c r="U27" s="244"/>
      <c r="V27" s="241"/>
      <c r="W27" s="241"/>
      <c r="X27" s="234"/>
      <c r="AA27" s="234"/>
    </row>
    <row r="28" spans="1:27" s="221" customFormat="1" ht="23.25" customHeight="1" x14ac:dyDescent="0.2">
      <c r="A28" s="216" t="str">
        <f>CONFIGURAR!AD19</f>
        <v>N</v>
      </c>
      <c r="B28" s="217"/>
      <c r="C28" s="218"/>
      <c r="D28" s="219"/>
      <c r="E28" s="220"/>
      <c r="F28" s="220"/>
      <c r="G28" s="219"/>
      <c r="H28" s="220"/>
      <c r="I28" s="220"/>
      <c r="J28" s="213"/>
      <c r="K28" s="213"/>
      <c r="L28" s="213"/>
      <c r="N28" s="219"/>
      <c r="O28" s="219"/>
      <c r="P28" s="219"/>
      <c r="Q28" s="219"/>
      <c r="R28" s="219"/>
      <c r="S28" s="220"/>
      <c r="T28" s="321" t="str">
        <f>IF(Q48="","Derrotado Jogo 35",IF(Q48&lt;Q56,P48,P56))</f>
        <v>Derrotado Jogo 35</v>
      </c>
      <c r="U28" s="321" t="str">
        <f>IF(Q7="","1º Finalista",IF(Q7&gt;K20,J8,J20))</f>
        <v>1º Finalista</v>
      </c>
      <c r="V28" s="321" t="str">
        <f>IF(R7="","1º Finalista",IF(R7&gt;L20,Q7,K20))</f>
        <v>1º Finalista</v>
      </c>
      <c r="W28" s="321" t="str">
        <f>IF(S7="","1º Finalista",IF(S7&gt;#REF!,R7,L20))</f>
        <v>1º Finalista</v>
      </c>
      <c r="X28" s="234"/>
      <c r="AA28" s="234"/>
    </row>
    <row r="29" spans="1:27" s="221" customFormat="1" ht="23.25" customHeight="1" x14ac:dyDescent="0.2">
      <c r="A29" s="222" t="s">
        <v>9</v>
      </c>
      <c r="B29" s="223">
        <f>IF(CONFIGURAR!$D$21=1,CONFIGURAR!AD47,IF(CONFIGURAR!$D$21=2,CONFIGURAR!AE47,IF(CONFIGURAR!$D$21=3,CONFIGURAR!AF47,IF(CONFIGURAR!$D$21=4,CONFIGURAR!AG47,IF(CONFIGURAR!$D$21=5,CONFIGURAR!AH47,IF(CONFIGURAR!$D$21=6,CONFIGURAR!AI47,""))))))</f>
        <v>0.43749999999999994</v>
      </c>
      <c r="C29" s="224"/>
      <c r="D29" s="216" t="str">
        <f>IF(B28="","Vencedor Jogo 7",IF(B28&gt;B30,A28,A30))</f>
        <v>Vencedor Jogo 7</v>
      </c>
      <c r="E29" s="217"/>
      <c r="F29" s="225"/>
      <c r="G29" s="226"/>
      <c r="H29" s="218"/>
      <c r="I29" s="218"/>
      <c r="J29" s="222" t="s">
        <v>38</v>
      </c>
      <c r="K29" s="223">
        <f>IF(CONFIGURAR!$D$21=1,CONFIGURAR!AD67,IF(CONFIGURAR!$D$21=2,CONFIGURAR!AE67,IF(CONFIGURAR!$D$21=3,CONFIGURAR!AF67,IF(CONFIGURAR!$D$21=4,CONFIGURAR!AG67,IF(CONFIGURAR!$D$21=5,CONFIGURAR!AH67,IF(CONFIGURAR!$D$21=6,CONFIGURAR!AI67,""))))))</f>
        <v>0.5069444444444442</v>
      </c>
      <c r="L29" s="220"/>
      <c r="M29" s="216" t="str">
        <f>IF(K23="","Vencedor Jogo 27",IF(K23&gt;K34,J23,J34))</f>
        <v>Vencedor Jogo 27</v>
      </c>
      <c r="N29" s="217"/>
      <c r="O29" s="219"/>
      <c r="P29" s="219"/>
      <c r="Q29" s="219"/>
      <c r="R29" s="219"/>
      <c r="S29" s="220"/>
      <c r="T29" s="321" t="str">
        <f>IF(J9="","1º Finalista",IF(J9&gt;J21,I9,I21))</f>
        <v>1º Finalista</v>
      </c>
      <c r="U29" s="321" t="str">
        <f>IF(K9="","1º Finalista",IF(K9&gt;K21,J9,J21))</f>
        <v>1º Finalista</v>
      </c>
      <c r="V29" s="321" t="str">
        <f>IF(L9="","1º Finalista",IF(L9&gt;L21,K9,K21))</f>
        <v>1º Finalista</v>
      </c>
      <c r="W29" s="321" t="str">
        <f>IF(M9="","1º Finalista",IF(M9&gt;M21,L9,L21))</f>
        <v>1º Finalista</v>
      </c>
      <c r="X29" s="234"/>
      <c r="AA29" s="234"/>
    </row>
    <row r="30" spans="1:27" s="221" customFormat="1" ht="23.25" customHeight="1" x14ac:dyDescent="0.2">
      <c r="A30" s="216" t="str">
        <f>CONFIGURAR!AD10</f>
        <v>E</v>
      </c>
      <c r="B30" s="217"/>
      <c r="C30" s="218"/>
      <c r="D30" s="219"/>
      <c r="E30" s="220"/>
      <c r="F30" s="220"/>
      <c r="G30" s="219"/>
      <c r="H30" s="220"/>
      <c r="I30" s="220"/>
      <c r="K30" s="245"/>
      <c r="L30" s="220"/>
      <c r="O30" s="219"/>
      <c r="R30" s="219"/>
      <c r="S30" s="220"/>
      <c r="T30" s="220"/>
      <c r="U30" s="244"/>
      <c r="V30" s="241"/>
      <c r="W30" s="241"/>
      <c r="X30" s="234"/>
      <c r="AA30" s="234"/>
    </row>
    <row r="31" spans="1:27" s="221" customFormat="1" ht="23.25" customHeight="1" x14ac:dyDescent="0.2">
      <c r="A31" s="228"/>
      <c r="B31" s="229"/>
      <c r="C31" s="229"/>
      <c r="D31" s="222" t="s">
        <v>33</v>
      </c>
      <c r="E31" s="223">
        <f>IF(CONFIGURAR!$D$21=1,CONFIGURAR!AD57,IF(CONFIGURAR!$D$21=2,CONFIGURAR!AE57,IF(CONFIGURAR!$D$21=3,CONFIGURAR!AF57,IF(CONFIGURAR!$D$21=4,CONFIGURAR!AG57,IF(CONFIGURAR!$D$21=5,CONFIGURAR!AH57,IF(CONFIGURAR!$D$21=6,CONFIGURAR!AI57,""))))))</f>
        <v>0.47222222222222204</v>
      </c>
      <c r="F31" s="230"/>
      <c r="G31" s="216" t="str">
        <f>IF(E29="","Vencedor Jogo 17",IF(E29&gt;E33,D29,D33))</f>
        <v>Vencedor Jogo 17</v>
      </c>
      <c r="H31" s="217"/>
      <c r="I31" s="225"/>
      <c r="J31" s="219"/>
      <c r="K31" s="220"/>
      <c r="L31" s="220"/>
      <c r="N31" s="219"/>
      <c r="O31" s="219"/>
      <c r="R31" s="219"/>
      <c r="S31" s="220"/>
      <c r="T31" s="220"/>
      <c r="U31" s="244"/>
      <c r="V31" s="241"/>
      <c r="W31" s="241"/>
      <c r="X31" s="234"/>
      <c r="AA31" s="234"/>
    </row>
    <row r="32" spans="1:27" s="221" customFormat="1" ht="23.25" customHeight="1" x14ac:dyDescent="0.2">
      <c r="A32" s="216" t="str">
        <f>CONFIGURAR!AD22</f>
        <v>Q</v>
      </c>
      <c r="B32" s="217"/>
      <c r="C32" s="218"/>
      <c r="D32" s="219"/>
      <c r="E32" s="220"/>
      <c r="F32" s="220"/>
      <c r="I32" s="224"/>
      <c r="N32" s="219"/>
      <c r="O32" s="219"/>
      <c r="P32" s="219"/>
      <c r="Q32" s="219"/>
      <c r="R32" s="219"/>
      <c r="S32" s="220"/>
      <c r="X32" s="234"/>
      <c r="AA32" s="234"/>
    </row>
    <row r="33" spans="1:27" s="221" customFormat="1" ht="23.25" customHeight="1" x14ac:dyDescent="0.2">
      <c r="A33" s="222" t="s">
        <v>27</v>
      </c>
      <c r="B33" s="223">
        <f>IF(CONFIGURAR!$D$21=1,CONFIGURAR!AD48,IF(CONFIGURAR!$D$21=2,CONFIGURAR!AE48,IF(CONFIGURAR!$D$21=3,CONFIGURAR!AF48,IF(CONFIGURAR!$D$21=4,CONFIGURAR!AG48,IF(CONFIGURAR!$D$21=5,CONFIGURAR!AH48,IF(CONFIGURAR!$D$21=6,CONFIGURAR!AI48,""))))))</f>
        <v>0.44097222222222215</v>
      </c>
      <c r="C33" s="224"/>
      <c r="D33" s="216" t="str">
        <f>IF(B32="","Vencedor Jogo 8",IF(B32&gt;B34,A32,A34))</f>
        <v>Vencedor Jogo 8</v>
      </c>
      <c r="E33" s="217"/>
      <c r="F33" s="218"/>
      <c r="G33" s="219"/>
      <c r="H33" s="220"/>
      <c r="I33" s="220"/>
      <c r="J33" s="219"/>
      <c r="K33" s="220"/>
      <c r="L33" s="220"/>
      <c r="N33" s="219"/>
      <c r="O33" s="219"/>
      <c r="P33" s="219"/>
      <c r="Q33" s="219"/>
      <c r="R33" s="219"/>
      <c r="S33" s="220"/>
      <c r="X33" s="234"/>
      <c r="AA33" s="234"/>
    </row>
    <row r="34" spans="1:27" s="221" customFormat="1" ht="23.25" customHeight="1" x14ac:dyDescent="0.2">
      <c r="A34" s="216" t="str">
        <f>CONFIGURAR!AD20</f>
        <v>O</v>
      </c>
      <c r="B34" s="217"/>
      <c r="C34" s="218"/>
      <c r="D34" s="219"/>
      <c r="E34" s="220"/>
      <c r="F34" s="220"/>
      <c r="G34" s="222" t="s">
        <v>17</v>
      </c>
      <c r="H34" s="223">
        <f>IF(CONFIGURAR!$D$21=1,CONFIGURAR!AD63,IF(CONFIGURAR!$D$21=2,CONFIGURAR!AE63,IF(CONFIGURAR!$D$21=3,CONFIGURAR!AF63,IF(CONFIGURAR!$D$21=4,CONFIGURAR!AG63,IF(CONFIGURAR!$D$21=5,CONFIGURAR!AH63,IF(CONFIGURAR!$D$21=6,CONFIGURAR!AI63,""))))))</f>
        <v>0.4930555555555553</v>
      </c>
      <c r="I34" s="220"/>
      <c r="J34" s="216" t="str">
        <f>IF(H31="","Vencedor Jogo 25",IF(H31&gt;H37,G31,G37))</f>
        <v>Vencedor Jogo 25</v>
      </c>
      <c r="K34" s="217"/>
      <c r="L34" s="220"/>
      <c r="N34" s="219"/>
      <c r="O34" s="219"/>
      <c r="P34" s="219"/>
      <c r="Q34" s="219"/>
      <c r="R34" s="219"/>
      <c r="S34" s="220"/>
      <c r="X34" s="234"/>
      <c r="AA34" s="234"/>
    </row>
    <row r="35" spans="1:27" s="221" customFormat="1" ht="23.25" customHeight="1" x14ac:dyDescent="0.2">
      <c r="A35" s="228"/>
      <c r="B35" s="229"/>
      <c r="C35" s="229"/>
      <c r="F35" s="224"/>
      <c r="I35" s="218"/>
      <c r="L35" s="218"/>
      <c r="N35" s="219"/>
      <c r="O35" s="219"/>
      <c r="P35" s="219"/>
      <c r="Q35" s="219"/>
      <c r="R35" s="219"/>
      <c r="S35" s="220"/>
      <c r="T35" s="220"/>
      <c r="U35" s="244"/>
      <c r="V35" s="241"/>
      <c r="W35" s="241"/>
      <c r="X35" s="234"/>
      <c r="AA35" s="234"/>
    </row>
    <row r="36" spans="1:27" s="221" customFormat="1" ht="23.25" customHeight="1" x14ac:dyDescent="0.2">
      <c r="A36" s="216" t="str">
        <f>CONFIGURAR!AD16</f>
        <v>K</v>
      </c>
      <c r="B36" s="217"/>
      <c r="C36" s="218"/>
      <c r="D36" s="219"/>
      <c r="E36" s="220"/>
      <c r="F36" s="220"/>
      <c r="G36" s="219"/>
      <c r="H36" s="220"/>
      <c r="I36" s="220"/>
      <c r="J36" s="219"/>
      <c r="K36" s="220"/>
      <c r="L36" s="220"/>
      <c r="N36" s="219"/>
      <c r="O36" s="219"/>
      <c r="Q36" s="219"/>
      <c r="R36" s="219"/>
      <c r="S36" s="220"/>
      <c r="T36" s="220"/>
      <c r="U36" s="246" t="s">
        <v>31</v>
      </c>
      <c r="V36" s="218">
        <v>34</v>
      </c>
      <c r="W36" s="247">
        <v>35</v>
      </c>
      <c r="X36" s="234"/>
      <c r="AA36" s="234"/>
    </row>
    <row r="37" spans="1:27" s="221" customFormat="1" ht="23.25" customHeight="1" x14ac:dyDescent="0.2">
      <c r="A37" s="222" t="s">
        <v>28</v>
      </c>
      <c r="B37" s="223">
        <f>IF(CONFIGURAR!$D$21=1,CONFIGURAR!AD49,IF(CONFIGURAR!$D$21=2,CONFIGURAR!AE49,IF(CONFIGURAR!$D$21=3,CONFIGURAR!AF49,IF(CONFIGURAR!$D$21=4,CONFIGURAR!AG49,IF(CONFIGURAR!$D$21=5,CONFIGURAR!AH49,IF(CONFIGURAR!$D$21=6,CONFIGURAR!AI49,""))))))</f>
        <v>0.44444444444444436</v>
      </c>
      <c r="C37" s="224"/>
      <c r="F37" s="218"/>
      <c r="G37" s="216" t="str">
        <f>IF(B36="","Vencedor Jogo 9",IF(B36&gt;B38,A36,A38))</f>
        <v>Vencedor Jogo 9</v>
      </c>
      <c r="H37" s="217"/>
      <c r="I37" s="220"/>
      <c r="L37" s="220"/>
      <c r="N37" s="219"/>
      <c r="O37" s="219"/>
      <c r="Q37" s="219"/>
      <c r="R37" s="219"/>
      <c r="S37" s="220"/>
      <c r="T37" s="220"/>
      <c r="U37" s="248" t="str">
        <f>IF(N11="","1º Finalista",IF(N11&gt;N29,M11,M29))</f>
        <v>1º Finalista</v>
      </c>
      <c r="V37" s="217"/>
      <c r="W37" s="249"/>
      <c r="X37" s="234"/>
      <c r="AA37" s="234"/>
    </row>
    <row r="38" spans="1:27" s="221" customFormat="1" ht="23.25" customHeight="1" x14ac:dyDescent="0.2">
      <c r="A38" s="216" t="str">
        <f>CONFIGURAR!AD9</f>
        <v>D</v>
      </c>
      <c r="B38" s="217"/>
      <c r="C38" s="218"/>
      <c r="D38" s="219"/>
      <c r="E38" s="220"/>
      <c r="F38" s="220"/>
      <c r="G38" s="219"/>
      <c r="H38" s="220"/>
      <c r="I38" s="220"/>
      <c r="J38" s="219"/>
      <c r="K38" s="220"/>
      <c r="L38" s="220"/>
      <c r="N38" s="219"/>
      <c r="O38" s="219"/>
      <c r="Q38" s="219"/>
      <c r="R38" s="219"/>
      <c r="S38" s="220"/>
      <c r="T38" s="220"/>
      <c r="U38" s="323" t="s">
        <v>30</v>
      </c>
      <c r="V38" s="328">
        <f>Q52+CONFIGURAR!$D$19+CONFIGURAR!$D$20</f>
        <v>0.53124999999999967</v>
      </c>
      <c r="W38" s="328"/>
      <c r="X38" s="234"/>
    </row>
    <row r="39" spans="1:27" s="221" customFormat="1" ht="23.25" customHeight="1" x14ac:dyDescent="0.2">
      <c r="A39" s="228"/>
      <c r="B39" s="229"/>
      <c r="C39" s="229"/>
      <c r="F39" s="230"/>
      <c r="I39" s="225"/>
      <c r="L39" s="224"/>
      <c r="N39" s="219"/>
      <c r="O39" s="219"/>
      <c r="Q39" s="219"/>
      <c r="R39" s="219"/>
      <c r="S39" s="220"/>
      <c r="T39" s="220"/>
      <c r="U39" s="323"/>
      <c r="V39" s="328"/>
      <c r="W39" s="328"/>
      <c r="X39" s="234"/>
    </row>
    <row r="40" spans="1:27" s="221" customFormat="1" ht="23.25" customHeight="1" x14ac:dyDescent="0.2">
      <c r="A40" s="226"/>
      <c r="B40" s="218"/>
      <c r="C40" s="218"/>
      <c r="D40" s="226"/>
      <c r="E40" s="218"/>
      <c r="F40" s="220"/>
      <c r="I40" s="220"/>
      <c r="J40" s="219"/>
      <c r="K40" s="220"/>
      <c r="L40" s="220"/>
      <c r="M40" s="222"/>
      <c r="N40" s="223"/>
      <c r="O40" s="219"/>
      <c r="Q40" s="219"/>
      <c r="R40" s="219"/>
      <c r="S40" s="219"/>
      <c r="T40" s="220"/>
      <c r="U40" s="251" t="str">
        <f>IF(Q48="","2º Finalista",IF(Q48&gt;Q56,P48,P56))</f>
        <v>2º Finalista</v>
      </c>
      <c r="V40" s="252"/>
      <c r="W40" s="253"/>
      <c r="X40" s="234"/>
      <c r="Z40" s="223"/>
      <c r="AA40" s="234"/>
    </row>
    <row r="41" spans="1:27" s="221" customFormat="1" ht="23.25" customHeight="1" x14ac:dyDescent="0.2">
      <c r="A41" s="237"/>
      <c r="B41" s="224"/>
      <c r="C41" s="224"/>
      <c r="F41" s="218"/>
      <c r="I41" s="220"/>
      <c r="J41" s="237"/>
      <c r="K41" s="224"/>
      <c r="L41" s="220"/>
      <c r="M41" s="219"/>
      <c r="N41" s="219"/>
      <c r="O41" s="219"/>
      <c r="Q41" s="219"/>
      <c r="R41" s="219"/>
      <c r="S41" s="219"/>
      <c r="T41" s="220"/>
      <c r="U41" s="244"/>
      <c r="V41" s="241"/>
      <c r="W41" s="241"/>
      <c r="X41" s="234"/>
      <c r="Z41" s="223"/>
      <c r="AA41" s="234"/>
    </row>
    <row r="42" spans="1:27" s="221" customFormat="1" ht="23.25" customHeight="1" x14ac:dyDescent="0.2">
      <c r="A42" s="242"/>
      <c r="B42" s="218"/>
      <c r="C42" s="218"/>
      <c r="D42" s="254" t="str">
        <f>IF(E5="","Derrotado Jogo 14",IF(E5&gt;E9,D9,D5))</f>
        <v>Derrotado Jogo 14</v>
      </c>
      <c r="E42" s="252"/>
      <c r="F42" s="220"/>
      <c r="I42" s="220"/>
      <c r="J42" s="219"/>
      <c r="K42" s="220"/>
      <c r="L42" s="220"/>
      <c r="M42" s="219"/>
      <c r="N42" s="219"/>
      <c r="O42" s="219"/>
      <c r="P42" s="219"/>
      <c r="Q42" s="219"/>
      <c r="R42" s="219"/>
      <c r="S42" s="220"/>
      <c r="X42" s="234"/>
    </row>
    <row r="43" spans="1:27" s="221" customFormat="1" ht="23.25" customHeight="1" x14ac:dyDescent="0.2">
      <c r="A43" s="254" t="str">
        <f>IF(B4="","Derrotado do jogo 1",(IF(B4&gt;B6,A6,A4)))</f>
        <v>Derrotado do jogo 1</v>
      </c>
      <c r="B43" s="252"/>
      <c r="C43" s="247"/>
      <c r="D43" s="222" t="s">
        <v>13</v>
      </c>
      <c r="E43" s="223">
        <f>IF(CONFIGURAR!$D$21=1,CONFIGURAR!AD58,IF(CONFIGURAR!$D$21=2,CONFIGURAR!AE58,IF(CONFIGURAR!$D$21=3,CONFIGURAR!AF58,IF(CONFIGURAR!$D$21=4,CONFIGURAR!AG58,IF(CONFIGURAR!$D$21=5,CONFIGURAR!AH58,IF(CONFIGURAR!$D$21=6,CONFIGURAR!AI58,""))))))</f>
        <v>0.47569444444444425</v>
      </c>
      <c r="F43" s="220"/>
      <c r="G43" s="254" t="str">
        <f>IF(E42="","Vencedor Jogo 18",IF(E42&gt;E44,D42,D44))</f>
        <v>Vencedor Jogo 18</v>
      </c>
      <c r="H43" s="252"/>
      <c r="I43" s="220"/>
      <c r="L43" s="220"/>
      <c r="M43" s="219"/>
      <c r="N43" s="219"/>
      <c r="O43" s="219"/>
      <c r="P43" s="219"/>
      <c r="Q43" s="219"/>
      <c r="R43" s="219"/>
      <c r="S43" s="220"/>
    </row>
    <row r="44" spans="1:27" s="221" customFormat="1" ht="23.25" customHeight="1" x14ac:dyDescent="0.2">
      <c r="A44" s="222" t="s">
        <v>58</v>
      </c>
      <c r="B44" s="223">
        <f>IF(CONFIGURAR!$D$21=1,CONFIGURAR!AD50,IF(CONFIGURAR!$D$21=2,CONFIGURAR!AE50,IF(CONFIGURAR!$D$21=3,CONFIGURAR!AF50,IF(CONFIGURAR!$D$21=4,CONFIGURAR!AG50,IF(CONFIGURAR!$D$21=5,CONFIGURAR!AH50,IF(CONFIGURAR!$D$21=6,CONFIGURAR!AI50,""))))))</f>
        <v>0.44791666666666657</v>
      </c>
      <c r="C44" s="255"/>
      <c r="D44" s="254" t="str">
        <f>IF(B43="","Vencedor Jogo 10",IF(B43&gt;B45,A43,A45))</f>
        <v>Vencedor Jogo 10</v>
      </c>
      <c r="E44" s="252"/>
      <c r="F44" s="220"/>
      <c r="G44" s="219"/>
      <c r="H44" s="220"/>
      <c r="I44" s="220"/>
      <c r="L44" s="220"/>
      <c r="O44" s="219"/>
      <c r="P44" s="222"/>
      <c r="Q44" s="223"/>
      <c r="R44" s="219"/>
      <c r="S44" s="220"/>
      <c r="X44" s="234"/>
      <c r="Z44" s="223"/>
      <c r="AA44" s="234"/>
    </row>
    <row r="45" spans="1:27" s="221" customFormat="1" ht="23.25" customHeight="1" x14ac:dyDescent="0.2">
      <c r="A45" s="254" t="str">
        <f>IF(B8="","Derrotado do jogo 2",IF(B8&gt;B10,A10,A8))</f>
        <v>Derrotado do jogo 2</v>
      </c>
      <c r="B45" s="252"/>
      <c r="C45" s="247"/>
      <c r="D45" s="219"/>
      <c r="E45" s="220"/>
      <c r="F45" s="220"/>
      <c r="G45" s="222" t="s">
        <v>35</v>
      </c>
      <c r="H45" s="223">
        <f>IF(CONFIGURAR!$D$21=1,CONFIGURAR!AD64,IF(CONFIGURAR!$D$21=2,CONFIGURAR!AE64,IF(CONFIGURAR!$D$21=3,CONFIGURAR!AF64,IF(CONFIGURAR!$D$21=4,CONFIGURAR!AG64,IF(CONFIGURAR!$D$21=5,CONFIGURAR!AH64,IF(CONFIGURAR!$D$21=6,E47+CONFIGURAR!D19+CONFIGURAR!D20,""))))))</f>
        <v>0.49652777777777751</v>
      </c>
      <c r="I45" s="220"/>
      <c r="L45" s="220"/>
      <c r="M45" s="254" t="str">
        <f>IF(H43="","Vencedor Jogo 24",IF(H43&gt;H47,G43,G47))</f>
        <v>Vencedor Jogo 24</v>
      </c>
      <c r="N45" s="252"/>
      <c r="O45" s="219"/>
      <c r="P45" s="219"/>
      <c r="Q45" s="219"/>
      <c r="R45" s="219"/>
      <c r="S45" s="220"/>
      <c r="X45" s="234"/>
      <c r="Z45" s="223"/>
      <c r="AA45" s="234"/>
    </row>
    <row r="46" spans="1:27" s="221" customFormat="1" ht="23.25" customHeight="1" x14ac:dyDescent="0.2">
      <c r="A46" s="228"/>
      <c r="B46" s="229"/>
      <c r="C46" s="229"/>
      <c r="D46" s="254" t="str">
        <f>IF(E13="","Derrotado Jogo 15",IF(E13&gt;E17,D17,D13))</f>
        <v>Derrotado Jogo 15</v>
      </c>
      <c r="E46" s="252"/>
      <c r="F46" s="220"/>
      <c r="G46" s="219"/>
      <c r="H46" s="220"/>
      <c r="I46" s="220"/>
      <c r="L46" s="220"/>
      <c r="O46" s="219"/>
      <c r="P46" s="219"/>
      <c r="Q46" s="219"/>
      <c r="R46" s="219"/>
      <c r="S46" s="220"/>
      <c r="X46" s="234"/>
    </row>
    <row r="47" spans="1:27" s="221" customFormat="1" ht="23.25" customHeight="1" x14ac:dyDescent="0.2">
      <c r="A47" s="254" t="str">
        <f>IF(B12="","Derrotado do jogo 3",IF(B12&gt;B14,A14,A12))</f>
        <v>Derrotado do jogo 3</v>
      </c>
      <c r="B47" s="252"/>
      <c r="C47" s="247"/>
      <c r="D47" s="222" t="s">
        <v>14</v>
      </c>
      <c r="E47" s="223">
        <f>IF(CONFIGURAR!$D$21=1,CONFIGURAR!AD59,IF(CONFIGURAR!$D$21=2,CONFIGURAR!AE59,IF(CONFIGURAR!$D$21=3,CONFIGURAR!AF59,IF(CONFIGURAR!$D$21=4,CONFIGURAR!AG59,IF(CONFIGURAR!$D$21=5,CONFIGURAR!AH59,IF(CONFIGURAR!$D$21=6,CONFIGURAR!AI59,""))))))</f>
        <v>0.47916666666666646</v>
      </c>
      <c r="F47" s="220"/>
      <c r="G47" s="254" t="str">
        <f>IF(E46="","Vencedor Jogo 19",IF(E46&gt;E48,D46,D48))</f>
        <v>Vencedor Jogo 19</v>
      </c>
      <c r="H47" s="252"/>
      <c r="I47" s="220"/>
      <c r="J47" s="219"/>
      <c r="K47" s="220"/>
      <c r="L47" s="220"/>
      <c r="O47" s="219"/>
      <c r="R47" s="219"/>
      <c r="S47" s="220"/>
      <c r="X47" s="234"/>
    </row>
    <row r="48" spans="1:27" s="221" customFormat="1" ht="23.25" customHeight="1" x14ac:dyDescent="0.2">
      <c r="A48" s="222" t="s">
        <v>59</v>
      </c>
      <c r="B48" s="223">
        <f>IF(CONFIGURAR!$D$21=1,CONFIGURAR!AD51,IF(CONFIGURAR!$D$21=2,CONFIGURAR!AE51,IF(CONFIGURAR!$D$21=3,CONFIGURAR!AF51,IF(CONFIGURAR!$D$21=4,CONFIGURAR!AG51,IF(CONFIGURAR!$D$21=5,CONFIGURAR!AH51,IF(CONFIGURAR!$D$21=6,CONFIGURAR!AI51,""))))))</f>
        <v>0.45138888888888878</v>
      </c>
      <c r="C48" s="255"/>
      <c r="D48" s="254" t="str">
        <f>IF(B47="","Vencedor Jogo 11",IF(B47&gt;B49,A47,A49))</f>
        <v>Vencedor Jogo 11</v>
      </c>
      <c r="E48" s="252"/>
      <c r="F48" s="220"/>
      <c r="G48" s="219"/>
      <c r="H48" s="220"/>
      <c r="I48" s="220"/>
      <c r="J48" s="219"/>
      <c r="K48" s="220"/>
      <c r="L48" s="220"/>
      <c r="M48" s="222" t="s">
        <v>42</v>
      </c>
      <c r="N48" s="223">
        <f>IF(CONFIGURAR!$D$21=1,CONFIGURAR!AD71,IF(CONFIGURAR!$D$21=2,CONFIGURAR!AE71,IF(CONFIGURAR!$D$21=3,CONFIGURAR!AF71,IF(CONFIGURAR!$D$21=4,CONFIGURAR!AG71+CONFIGURAR!$D$19+CONFIGURAR!$D$20,IF(CONFIGURAR!$D$21=5,K52+CONFIGURAR!D19+CONFIGURAR!D20,IF(CONFIGURAR!$D$21=6,CONFIGURAR!AI71+CONFIGURAR!$D$19+CONFIGURAR!$D$20,""))))))</f>
        <v>0.52083333333333304</v>
      </c>
      <c r="O48" s="219"/>
      <c r="P48" s="254" t="str">
        <f>IF(N45="","Vencedor Jogo 31",IF(N45&gt;N52,M45,M52))</f>
        <v>Vencedor Jogo 31</v>
      </c>
      <c r="Q48" s="252"/>
      <c r="R48" s="219"/>
      <c r="S48" s="220"/>
      <c r="X48" s="234"/>
    </row>
    <row r="49" spans="1:27" s="221" customFormat="1" ht="23.25" customHeight="1" x14ac:dyDescent="0.2">
      <c r="A49" s="254" t="str">
        <f>IF(B16="","Derrotado do jogo 4",IF(B16&gt;B18,A18,A16))</f>
        <v>Derrotado do jogo 4</v>
      </c>
      <c r="B49" s="252"/>
      <c r="C49" s="247"/>
      <c r="D49" s="219"/>
      <c r="E49" s="220"/>
      <c r="F49" s="220"/>
      <c r="I49" s="220"/>
      <c r="L49" s="220"/>
      <c r="O49" s="219"/>
      <c r="P49" s="219"/>
      <c r="Q49" s="219"/>
      <c r="R49" s="219"/>
      <c r="S49" s="220"/>
      <c r="X49" s="234"/>
    </row>
    <row r="50" spans="1:27" s="221" customFormat="1" ht="23.25" customHeight="1" x14ac:dyDescent="0.2">
      <c r="A50" s="228"/>
      <c r="B50" s="229"/>
      <c r="C50" s="229"/>
      <c r="D50" s="254" t="str">
        <f>IF(E21="","Derrotado Jogo 16",IF(E21&gt;E25,D25,D21))</f>
        <v>Derrotado Jogo 16</v>
      </c>
      <c r="E50" s="252"/>
      <c r="F50" s="220"/>
      <c r="I50" s="220"/>
      <c r="J50" s="219"/>
      <c r="K50" s="220"/>
      <c r="L50" s="220"/>
      <c r="M50" s="219"/>
      <c r="N50" s="219"/>
      <c r="O50" s="219"/>
      <c r="P50" s="219"/>
      <c r="Q50" s="219"/>
      <c r="R50" s="219"/>
      <c r="S50" s="220"/>
      <c r="X50" s="234"/>
    </row>
    <row r="51" spans="1:27" s="221" customFormat="1" ht="23.25" customHeight="1" x14ac:dyDescent="0.2">
      <c r="A51" s="254" t="str">
        <f>IF(B20="","Derrotado do jogo 5",IF(B20&gt;B22,A22,A20))</f>
        <v>Derrotado do jogo 5</v>
      </c>
      <c r="B51" s="252"/>
      <c r="C51" s="247"/>
      <c r="D51" s="222" t="s">
        <v>15</v>
      </c>
      <c r="E51" s="223">
        <f>IF(CONFIGURAR!$D$21=1,CONFIGURAR!AD60,IF(CONFIGURAR!$D$21=2,CONFIGURAR!AE60,IF(CONFIGURAR!$D$21=3,CONFIGURAR!AF60,IF(CONFIGURAR!$D$21=4,CONFIGURAR!AG60,IF(CONFIGURAR!$D$21=5,E47+CONFIGURAR!D19+CONFIGURAR!D20,IF(CONFIGURAR!$D$21=6,CONFIGURAR!AI60,""))))))</f>
        <v>0.48263888888888867</v>
      </c>
      <c r="F51" s="220"/>
      <c r="I51" s="220"/>
      <c r="J51" s="254" t="str">
        <f>IF(E50="","Vencedor Jogo 20",IF(E50&gt;E52,D50,D52))</f>
        <v>Vencedor Jogo 20</v>
      </c>
      <c r="K51" s="252"/>
      <c r="L51" s="220"/>
      <c r="O51" s="219"/>
      <c r="P51" s="219"/>
      <c r="Q51" s="219"/>
      <c r="R51" s="219"/>
      <c r="S51" s="220"/>
      <c r="X51" s="234"/>
    </row>
    <row r="52" spans="1:27" s="221" customFormat="1" ht="23.25" customHeight="1" x14ac:dyDescent="0.2">
      <c r="A52" s="222" t="s">
        <v>60</v>
      </c>
      <c r="B52" s="223">
        <f>IF(CONFIGURAR!$D$21=1,CONFIGURAR!AD52,IF(CONFIGURAR!$D$21=2,CONFIGURAR!AE52,IF(CONFIGURAR!$D$21=3,CONFIGURAR!AF52,IF(CONFIGURAR!$D$21=4,CONFIGURAR!AG52,IF(CONFIGURAR!$D$21=5,CONFIGURAR!AH52,IF(CONFIGURAR!$D$21=6,CONFIGURAR!AI52,""))))))</f>
        <v>0.45486111111111099</v>
      </c>
      <c r="C52" s="255"/>
      <c r="D52" s="254" t="str">
        <f>IF(B51="","Vencedor Jogo 12",IF(B51&gt;B53,A51,A53))</f>
        <v>Vencedor Jogo 12</v>
      </c>
      <c r="E52" s="252"/>
      <c r="F52" s="220"/>
      <c r="G52" s="219"/>
      <c r="H52" s="220"/>
      <c r="I52" s="220"/>
      <c r="J52" s="222" t="s">
        <v>39</v>
      </c>
      <c r="K52" s="223">
        <f>IF(CONFIGURAR!$D$21=1,CONFIGURAR!AD68,IF(CONFIGURAR!$D$21=2,CONFIGURAR!AE68,IF(CONFIGURAR!$D$21=3,CONFIGURAR!AF68,IF(CONFIGURAR!$D$21=4,CONFIGURAR!AG68+CONFIGURAR!$D$19+CONFIGURAR!$D$20,IF(CONFIGURAR!$D$21=5,H54+CONFIGURAR!D19+CONFIGURAR!D20,IF(CONFIGURAR!$D$21=6,CONFIGURAR!AI68+CONFIGURAR!$D$19+CONFIGURAR!$D$20,""))))))</f>
        <v>0.51041666666666641</v>
      </c>
      <c r="L52" s="220"/>
      <c r="M52" s="254" t="str">
        <f>IF(K51="","Vencedor Jogo 28",IF(K51&gt;K54,J51,J54))</f>
        <v>Vencedor Jogo 28</v>
      </c>
      <c r="N52" s="252"/>
      <c r="O52" s="219"/>
      <c r="P52" s="222" t="s">
        <v>44</v>
      </c>
      <c r="Q52" s="223">
        <f>IF(CONFIGURAR!$D$21=1,CONFIGURAR!AD73,IF(CONFIGURAR!$D$21=2,CONFIGURAR!AE73,IF(CONFIGURAR!$D$21=3,N57+CONFIGURAR!D19+CONFIGURAR!D20,IF(CONFIGURAR!$D$21=4,N57+CONFIGURAR!D19+CONFIGURAR!D20,IF(CONFIGURAR!$D$21=5,N57+CONFIGURAR!$D$19+CONFIGURAR!$D$20,IF(CONFIGURAR!$D$21=6,N57+CONFIGURAR!$D$19+CONFIGURAR!$D$20,""))))))</f>
        <v>0.52777777777777746</v>
      </c>
      <c r="R52" s="219"/>
      <c r="S52" s="220"/>
      <c r="X52" s="234"/>
      <c r="Z52" s="223"/>
      <c r="AA52" s="234"/>
    </row>
    <row r="53" spans="1:27" s="221" customFormat="1" ht="23.25" customHeight="1" x14ac:dyDescent="0.2">
      <c r="A53" s="254" t="str">
        <f>IF(B24="","Derrotado do jogo 6",IF(B24&gt;B26,A26,A24))</f>
        <v>Derrotado do jogo 6</v>
      </c>
      <c r="B53" s="252"/>
      <c r="C53" s="247"/>
      <c r="F53" s="224"/>
      <c r="G53" s="254" t="str">
        <f>IF(H7="","Derrotado Jogo 22",IF(H7&gt;H15,G15,G7))</f>
        <v>Derrotado Jogo 22</v>
      </c>
      <c r="H53" s="252"/>
      <c r="I53" s="218"/>
      <c r="J53" s="256"/>
      <c r="K53" s="256"/>
      <c r="L53" s="256"/>
      <c r="S53" s="220"/>
      <c r="X53" s="234"/>
      <c r="Z53" s="223"/>
      <c r="AA53" s="234"/>
    </row>
    <row r="54" spans="1:27" s="221" customFormat="1" ht="23.25" customHeight="1" x14ac:dyDescent="0.2">
      <c r="A54" s="228"/>
      <c r="B54" s="229"/>
      <c r="C54" s="229"/>
      <c r="F54" s="255"/>
      <c r="G54" s="222" t="s">
        <v>36</v>
      </c>
      <c r="H54" s="223">
        <f>IF(CONFIGURAR!$D$21=1,CONFIGURAR!AD65,IF(CONFIGURAR!$D$21=2,CONFIGURAR!AE65,IF(CONFIGURAR!$D$21=3,CONFIGURAR!AF65,IF(CONFIGURAR!$D$21=4,CONFIGURAR!AG65,IF(CONFIGURAR!$D$21=5,H45+CONFIGURAR!D19+CONFIGURAR!D20,IF(CONFIGURAR!$D$21=6,CONFIGURAR!AI65,""))))))</f>
        <v>0.49999999999999972</v>
      </c>
      <c r="I54" s="225"/>
      <c r="J54" s="254" t="str">
        <f>IF(H53="","Vencedor Jogo 25",IF(H53&gt;H55,G53,G55))</f>
        <v>Vencedor Jogo 25</v>
      </c>
      <c r="K54" s="252"/>
      <c r="L54" s="247"/>
      <c r="O54" s="219"/>
      <c r="P54" s="219"/>
      <c r="Q54" s="219"/>
      <c r="R54" s="219"/>
      <c r="S54" s="220"/>
      <c r="X54" s="234"/>
      <c r="Z54" s="223"/>
      <c r="AA54" s="234"/>
    </row>
    <row r="55" spans="1:27" s="221" customFormat="1" ht="23.25" customHeight="1" x14ac:dyDescent="0.2">
      <c r="A55" s="254" t="str">
        <f>IF(B28="","Derrotado do jogo 7",(IF(B28&gt;B30,A30,A28)))</f>
        <v>Derrotado do jogo 7</v>
      </c>
      <c r="B55" s="252"/>
      <c r="C55" s="247"/>
      <c r="F55" s="257"/>
      <c r="G55" s="254" t="str">
        <f>IF(B55="","Vencedor Jogo 13",IF(B55&gt;B57,A55,A57))</f>
        <v>Vencedor Jogo 13</v>
      </c>
      <c r="H55" s="252"/>
      <c r="I55" s="220"/>
      <c r="L55" s="258"/>
      <c r="O55" s="259"/>
      <c r="R55" s="260"/>
      <c r="X55" s="234"/>
      <c r="Z55" s="223"/>
      <c r="AA55" s="234"/>
    </row>
    <row r="56" spans="1:27" s="221" customFormat="1" ht="23.25" customHeight="1" x14ac:dyDescent="0.2">
      <c r="A56" s="222" t="s">
        <v>10</v>
      </c>
      <c r="B56" s="223">
        <f>IF(CONFIGURAR!$D$21=1,CONFIGURAR!AD53,IF(CONFIGURAR!$D$21=2,CONFIGURAR!AE53,IF(CONFIGURAR!$D$21=3,CONFIGURAR!AF53,IF(CONFIGURAR!$D$21=4,CONFIGURAR!AG53,IF(CONFIGURAR!$D$21=5,CONFIGURAR!AH53,IF(CONFIGURAR!$D$21=6,CONFIGURAR!AI53,""))))))</f>
        <v>0.4583333333333332</v>
      </c>
      <c r="C56" s="255"/>
      <c r="F56" s="247"/>
      <c r="I56" s="220"/>
      <c r="L56" s="258"/>
      <c r="M56" s="254" t="str">
        <f>IF(N11="","Derrotado Jogo 30",IF(N11&gt;N29,M29,M11))</f>
        <v>Derrotado Jogo 30</v>
      </c>
      <c r="N56" s="252"/>
      <c r="P56" s="254" t="str">
        <f>IF(N56="","Vencedor Jogo 32",IF(N56&gt;N58,M56,M58))</f>
        <v>Vencedor Jogo 32</v>
      </c>
      <c r="Q56" s="252"/>
      <c r="R56" s="220"/>
      <c r="S56" s="220"/>
      <c r="T56" s="220"/>
      <c r="U56" s="219"/>
      <c r="V56" s="219"/>
      <c r="W56" s="220"/>
      <c r="X56" s="234"/>
      <c r="Z56" s="223"/>
    </row>
    <row r="57" spans="1:27" s="221" customFormat="1" ht="23.25" customHeight="1" x14ac:dyDescent="0.2">
      <c r="A57" s="254" t="str">
        <f>IF(B32="","Derrotado do jogo 8",IF(B32&gt;B34,A34,A32))</f>
        <v>Derrotado do jogo 8</v>
      </c>
      <c r="B57" s="252"/>
      <c r="C57" s="247"/>
      <c r="D57" s="219"/>
      <c r="E57" s="220"/>
      <c r="F57" s="220"/>
      <c r="G57" s="254" t="str">
        <f>IF(H31="","Derrotado Jogo 23",IF(H31&gt;H37,G37,G31))</f>
        <v>Derrotado Jogo 23</v>
      </c>
      <c r="H57" s="252"/>
      <c r="I57" s="220"/>
      <c r="J57" s="254" t="str">
        <f>IF(H57="","Vencedor Jogo 26",IF(H57&gt;H59,G57,G59))</f>
        <v>Vencedor Jogo 26</v>
      </c>
      <c r="K57" s="252"/>
      <c r="L57" s="219"/>
      <c r="M57" s="222" t="s">
        <v>43</v>
      </c>
      <c r="N57" s="223">
        <f>IF(CONFIGURAR!$D$21=1,CONFIGURAR!AD72,IF(CONFIGURAR!$D$21=2,CONFIGURAR!AE72,IF(CONFIGURAR!$D$21=3,CONFIGURAR!AF72,IF(CONFIGURAR!$D$21=4,CONFIGURAR!AG72+CONFIGURAR!$D$19+CONFIGURAR!$D$20,IF(CONFIGURAR!$D$21=5,N48,IF(CONFIGURAR!$D$21=6,CONFIGURAR!AI72+CONFIGURAR!$D$19+CONFIGURAR!$D$20,""))))))</f>
        <v>0.52430555555555525</v>
      </c>
      <c r="O57" s="237"/>
      <c r="R57" s="233"/>
      <c r="S57" s="225"/>
      <c r="T57" s="225"/>
      <c r="X57" s="234"/>
      <c r="Z57" s="223"/>
    </row>
    <row r="58" spans="1:27" s="221" customFormat="1" ht="23.25" customHeight="1" x14ac:dyDescent="0.2">
      <c r="A58" s="228"/>
      <c r="B58" s="229"/>
      <c r="C58" s="229"/>
      <c r="D58" s="254" t="str">
        <f>IF(E29="","Derrotado Jogo 17",IF(E29&gt;E33,D33,D29))</f>
        <v>Derrotado Jogo 17</v>
      </c>
      <c r="E58" s="252"/>
      <c r="F58" s="220"/>
      <c r="G58" s="222" t="s">
        <v>37</v>
      </c>
      <c r="H58" s="223">
        <f>IF(CONFIGURAR!$D$21=1,CONFIGURAR!AD66,IF(CONFIGURAR!$D$21=2,CONFIGURAR!AE66,IF(CONFIGURAR!$D$21=3,CONFIGURAR!AF66,IF(CONFIGURAR!$D$21=4,CONFIGURAR!AG66,IF(CONFIGURAR!$D$21=5,CONFIGURAR!AH66,IF(CONFIGURAR!$D$21=6,CONFIGURAR!AI66,""))))))</f>
        <v>0.50347222222222199</v>
      </c>
      <c r="I58" s="230"/>
      <c r="J58" s="222" t="s">
        <v>40</v>
      </c>
      <c r="K58" s="223">
        <f>IF(CONFIGURAR!$D$21=1,CONFIGURAR!AD69,IF(CONFIGURAR!$D$21=2,CONFIGURAR!AE69,IF(CONFIGURAR!$D$21=3,CONFIGURAR!AF69,IF(CONFIGURAR!$D$21=4,CONFIGURAR!AG69,IF(CONFIGURAR!$D$21=5,H58+CONFIGURAR!D19+CONFIGURAR!D20,IF(CONFIGURAR!$D$21=6,CONFIGURAR!AI69+CONFIGURAR!$D$19+CONFIGURAR!$D$20,""))))))</f>
        <v>0.51388888888888862</v>
      </c>
      <c r="L58" s="220"/>
      <c r="M58" s="254" t="str">
        <f>IF(K57="","Vencedor Jogo 29",IF(K57&gt;K59,J57,J59))</f>
        <v>Vencedor Jogo 29</v>
      </c>
      <c r="N58" s="252"/>
      <c r="O58" s="261"/>
      <c r="P58" s="261"/>
      <c r="Q58" s="261"/>
      <c r="R58" s="259"/>
      <c r="S58" s="220"/>
      <c r="X58" s="234"/>
      <c r="Z58" s="223"/>
    </row>
    <row r="59" spans="1:27" s="221" customFormat="1" ht="23.25" customHeight="1" x14ac:dyDescent="0.2">
      <c r="C59" s="247"/>
      <c r="D59" s="222" t="s">
        <v>16</v>
      </c>
      <c r="E59" s="223">
        <f>IF(CONFIGURAR!$D$21=1,CONFIGURAR!AD61,IF(CONFIGURAR!$D$21=2,CONFIGURAR!AE61,IF(CONFIGURAR!$D$21=3,CONFIGURAR!AF61,IF(CONFIGURAR!$D$21=4,CONFIGURAR!AG61,IF(CONFIGURAR!$D$21=5,CONFIGURAR!AH61,IF(CONFIGURAR!$D$21=6,CONFIGURAR!AI61,""))))))</f>
        <v>0.48611111111111088</v>
      </c>
      <c r="F59" s="220"/>
      <c r="G59" s="254" t="str">
        <f>IF(E58="","Vencedor Jogo 21",IF(E58&gt;E60,D58,A60))</f>
        <v>Vencedor Jogo 21</v>
      </c>
      <c r="H59" s="252"/>
      <c r="I59" s="262"/>
      <c r="J59" s="254" t="str">
        <f>IF(K23="","Derrotado Jogo 27",IF(K23&gt;K34,J34,J23))</f>
        <v>Derrotado Jogo 27</v>
      </c>
      <c r="K59" s="252"/>
      <c r="L59" s="247"/>
      <c r="M59" s="219"/>
      <c r="N59" s="219"/>
      <c r="O59" s="219"/>
      <c r="P59" s="219"/>
      <c r="Q59" s="219"/>
      <c r="S59" s="220"/>
      <c r="X59" s="234"/>
      <c r="Z59" s="223"/>
    </row>
    <row r="60" spans="1:27" s="221" customFormat="1" ht="23.25" customHeight="1" x14ac:dyDescent="0.2">
      <c r="A60" s="254" t="str">
        <f>IF(B36="","Derrotado do jogo 9",IF(B36&gt;B38,A38,A36))</f>
        <v>Derrotado do jogo 9</v>
      </c>
      <c r="B60" s="254"/>
      <c r="C60" s="255"/>
      <c r="D60" s="254" t="str">
        <f>A60</f>
        <v>Derrotado do jogo 9</v>
      </c>
      <c r="E60" s="252"/>
      <c r="F60" s="247"/>
      <c r="I60" s="262"/>
      <c r="R60" s="237"/>
      <c r="X60" s="234"/>
      <c r="Z60" s="223"/>
    </row>
    <row r="61" spans="1:27" s="221" customFormat="1" ht="23.25" customHeight="1" x14ac:dyDescent="0.2">
      <c r="A61" s="259"/>
      <c r="B61" s="247"/>
      <c r="C61" s="247"/>
      <c r="D61" s="219"/>
      <c r="E61" s="220"/>
      <c r="F61" s="220"/>
      <c r="I61" s="220"/>
      <c r="J61" s="213"/>
      <c r="K61" s="213"/>
      <c r="L61" s="213"/>
      <c r="M61" s="213"/>
      <c r="N61" s="213"/>
      <c r="O61" s="213"/>
      <c r="P61" s="213"/>
      <c r="Q61" s="213"/>
      <c r="R61" s="213"/>
      <c r="S61" s="213"/>
      <c r="T61" s="213"/>
      <c r="U61" s="213"/>
      <c r="V61" s="213"/>
      <c r="W61" s="213"/>
      <c r="X61" s="234"/>
      <c r="Z61" s="223"/>
    </row>
    <row r="62" spans="1:27" s="221" customFormat="1" ht="23.25" customHeight="1" x14ac:dyDescent="0.2">
      <c r="A62" s="263"/>
      <c r="B62" s="263"/>
      <c r="C62" s="263"/>
      <c r="D62" s="263"/>
      <c r="E62" s="263"/>
      <c r="F62" s="263"/>
      <c r="G62" s="263"/>
      <c r="H62" s="263"/>
      <c r="I62" s="263"/>
      <c r="J62" s="213"/>
      <c r="K62" s="213"/>
      <c r="L62" s="213"/>
      <c r="M62" s="213"/>
      <c r="N62" s="213"/>
      <c r="O62" s="213"/>
      <c r="P62" s="213"/>
      <c r="Q62" s="213"/>
      <c r="R62" s="213"/>
      <c r="S62" s="213"/>
      <c r="T62" s="213"/>
      <c r="U62" s="213"/>
      <c r="V62" s="213"/>
      <c r="W62" s="213"/>
      <c r="X62" s="234"/>
      <c r="Z62" s="223"/>
    </row>
    <row r="63" spans="1:27" s="221" customFormat="1" ht="25.5" customHeight="1" x14ac:dyDescent="0.2">
      <c r="A63" s="264" t="s">
        <v>18</v>
      </c>
      <c r="B63" s="264"/>
      <c r="C63" s="264"/>
      <c r="D63" s="264" t="s">
        <v>19</v>
      </c>
      <c r="E63" s="264"/>
      <c r="F63" s="264"/>
      <c r="G63" s="264" t="s">
        <v>20</v>
      </c>
      <c r="H63" s="264"/>
      <c r="I63" s="264"/>
      <c r="J63" s="264" t="s">
        <v>21</v>
      </c>
      <c r="K63" s="264"/>
      <c r="L63" s="264"/>
      <c r="M63" s="264" t="s">
        <v>22</v>
      </c>
      <c r="N63" s="264"/>
      <c r="O63" s="264"/>
      <c r="P63" s="264" t="s">
        <v>23</v>
      </c>
      <c r="Q63" s="264"/>
      <c r="R63" s="264"/>
      <c r="S63" s="264"/>
      <c r="T63" s="264"/>
      <c r="U63" s="264" t="s">
        <v>57</v>
      </c>
      <c r="V63" s="263"/>
      <c r="W63" s="263"/>
      <c r="Z63" s="223"/>
    </row>
    <row r="64" spans="1:27" s="266" customFormat="1" ht="15.75" customHeight="1" x14ac:dyDescent="0.2">
      <c r="A64" s="208"/>
      <c r="B64" s="209"/>
      <c r="C64" s="209"/>
      <c r="D64" s="210"/>
      <c r="E64" s="211"/>
      <c r="F64" s="211"/>
      <c r="G64" s="210"/>
      <c r="H64" s="211"/>
      <c r="I64" s="211"/>
      <c r="J64" s="210"/>
      <c r="K64" s="211"/>
      <c r="L64" s="211"/>
      <c r="M64" s="210"/>
      <c r="N64" s="210"/>
      <c r="O64" s="210"/>
      <c r="P64" s="210"/>
      <c r="Q64" s="210"/>
      <c r="R64" s="210"/>
      <c r="S64" s="211"/>
      <c r="T64" s="211"/>
      <c r="U64" s="210"/>
      <c r="V64" s="210"/>
      <c r="W64" s="211"/>
      <c r="X64" s="265"/>
      <c r="Y64" s="221"/>
      <c r="Z64" s="223"/>
    </row>
    <row r="65" spans="25:26" ht="15" x14ac:dyDescent="0.2">
      <c r="Y65" s="221"/>
      <c r="Z65" s="223"/>
    </row>
    <row r="66" spans="25:26" ht="15" x14ac:dyDescent="0.2">
      <c r="Y66" s="221"/>
      <c r="Z66" s="223"/>
    </row>
    <row r="67" spans="25:26" ht="15" x14ac:dyDescent="0.2">
      <c r="Y67" s="221"/>
      <c r="Z67" s="223"/>
    </row>
    <row r="68" spans="25:26" ht="15" x14ac:dyDescent="0.2">
      <c r="Y68" s="221"/>
      <c r="Z68" s="223"/>
    </row>
    <row r="69" spans="25:26" ht="15" x14ac:dyDescent="0.2">
      <c r="Y69" s="221"/>
      <c r="Z69" s="223"/>
    </row>
    <row r="70" spans="25:26" ht="15" x14ac:dyDescent="0.2">
      <c r="Y70" s="221"/>
      <c r="Z70" s="223"/>
    </row>
    <row r="71" spans="25:26" ht="15" x14ac:dyDescent="0.2">
      <c r="Y71" s="221"/>
      <c r="Z71" s="223"/>
    </row>
    <row r="72" spans="25:26" ht="15" x14ac:dyDescent="0.2">
      <c r="Y72" s="221"/>
      <c r="Z72" s="223"/>
    </row>
    <row r="73" spans="25:26" ht="15" x14ac:dyDescent="0.2">
      <c r="Y73" s="221"/>
      <c r="Z73" s="223"/>
    </row>
    <row r="74" spans="25:26" ht="15" x14ac:dyDescent="0.2">
      <c r="Y74" s="221"/>
      <c r="Z74" s="223"/>
    </row>
    <row r="75" spans="25:26" ht="15" x14ac:dyDescent="0.2">
      <c r="Y75" s="221"/>
      <c r="Z75" s="223"/>
    </row>
    <row r="76" spans="25:26" ht="15" x14ac:dyDescent="0.2">
      <c r="Y76" s="221"/>
      <c r="Z76" s="223"/>
    </row>
    <row r="77" spans="25:26" ht="15" x14ac:dyDescent="0.2">
      <c r="Y77" s="221"/>
      <c r="Z77" s="223"/>
    </row>
    <row r="78" spans="25:26" ht="15" x14ac:dyDescent="0.2">
      <c r="Y78" s="221"/>
      <c r="Z78" s="223"/>
    </row>
    <row r="79" spans="25:26" ht="15" x14ac:dyDescent="0.2">
      <c r="Y79" s="221"/>
      <c r="Z79" s="223"/>
    </row>
    <row r="80" spans="25:26" ht="15" x14ac:dyDescent="0.2">
      <c r="Y80" s="221"/>
      <c r="Z80" s="223"/>
    </row>
    <row r="81" spans="25:26" ht="15" x14ac:dyDescent="0.2">
      <c r="Y81" s="221"/>
      <c r="Z81" s="223"/>
    </row>
    <row r="82" spans="25:26" ht="15" x14ac:dyDescent="0.2">
      <c r="Y82" s="221"/>
      <c r="Z82" s="223"/>
    </row>
    <row r="83" spans="25:26" ht="15" x14ac:dyDescent="0.2">
      <c r="Y83" s="221"/>
      <c r="Z83" s="223"/>
    </row>
    <row r="84" spans="25:26" ht="15" x14ac:dyDescent="0.2">
      <c r="Y84" s="221"/>
      <c r="Z84" s="223"/>
    </row>
    <row r="85" spans="25:26" ht="15" x14ac:dyDescent="0.2">
      <c r="Y85" s="221"/>
      <c r="Z85" s="223"/>
    </row>
    <row r="86" spans="25:26" ht="15" x14ac:dyDescent="0.2">
      <c r="Y86" s="221"/>
      <c r="Z86" s="223"/>
    </row>
    <row r="87" spans="25:26" ht="15" x14ac:dyDescent="0.2">
      <c r="Y87" s="221"/>
      <c r="Z87" s="223"/>
    </row>
    <row r="88" spans="25:26" ht="15" x14ac:dyDescent="0.2">
      <c r="Y88" s="221"/>
      <c r="Z88" s="223"/>
    </row>
    <row r="89" spans="25:26" ht="15" x14ac:dyDescent="0.2">
      <c r="Y89" s="221"/>
      <c r="Z89" s="223"/>
    </row>
    <row r="90" spans="25:26" ht="15" x14ac:dyDescent="0.2">
      <c r="Y90" s="221"/>
      <c r="Z90" s="223"/>
    </row>
    <row r="91" spans="25:26" ht="15" x14ac:dyDescent="0.2">
      <c r="Y91" s="221"/>
      <c r="Z91" s="223"/>
    </row>
    <row r="92" spans="25:26" ht="15" x14ac:dyDescent="0.2">
      <c r="Y92" s="221"/>
      <c r="Z92" s="223"/>
    </row>
    <row r="93" spans="25:26" ht="15" x14ac:dyDescent="0.2">
      <c r="Y93" s="221"/>
      <c r="Z93" s="223"/>
    </row>
    <row r="94" spans="25:26" ht="15" x14ac:dyDescent="0.2">
      <c r="Y94" s="221"/>
      <c r="Z94" s="223"/>
    </row>
    <row r="95" spans="25:26" ht="15" x14ac:dyDescent="0.2">
      <c r="Y95" s="221"/>
      <c r="Z95" s="223"/>
    </row>
    <row r="96" spans="25:26" ht="15" x14ac:dyDescent="0.2">
      <c r="Y96" s="221"/>
      <c r="Z96" s="223"/>
    </row>
    <row r="97" spans="25:26" ht="15" x14ac:dyDescent="0.2">
      <c r="Y97" s="221"/>
      <c r="Z97" s="223"/>
    </row>
    <row r="98" spans="25:26" ht="15" x14ac:dyDescent="0.2">
      <c r="Y98" s="221"/>
      <c r="Z98" s="223"/>
    </row>
    <row r="99" spans="25:26" ht="15" x14ac:dyDescent="0.2">
      <c r="Y99" s="221"/>
      <c r="Z99" s="223"/>
    </row>
    <row r="100" spans="25:26" ht="15" x14ac:dyDescent="0.2">
      <c r="Y100" s="221"/>
      <c r="Z100" s="223"/>
    </row>
    <row r="101" spans="25:26" ht="15" x14ac:dyDescent="0.2">
      <c r="Y101" s="221"/>
      <c r="Z101" s="223"/>
    </row>
    <row r="102" spans="25:26" ht="15" x14ac:dyDescent="0.2">
      <c r="Y102" s="221"/>
      <c r="Z102" s="223"/>
    </row>
    <row r="103" spans="25:26" ht="15" x14ac:dyDescent="0.2">
      <c r="Y103" s="221"/>
      <c r="Z103" s="223"/>
    </row>
    <row r="104" spans="25:26" ht="15" x14ac:dyDescent="0.2">
      <c r="Y104" s="221"/>
      <c r="Z104" s="223"/>
    </row>
    <row r="105" spans="25:26" ht="15" x14ac:dyDescent="0.2">
      <c r="Y105" s="221"/>
      <c r="Z105" s="223"/>
    </row>
    <row r="106" spans="25:26" ht="15" x14ac:dyDescent="0.2">
      <c r="Y106" s="221"/>
      <c r="Z106" s="223"/>
    </row>
    <row r="107" spans="25:26" ht="15" x14ac:dyDescent="0.2">
      <c r="Y107" s="221"/>
      <c r="Z107" s="223"/>
    </row>
    <row r="108" spans="25:26" ht="15" x14ac:dyDescent="0.2">
      <c r="Y108" s="221"/>
      <c r="Z108" s="223"/>
    </row>
    <row r="109" spans="25:26" ht="15" x14ac:dyDescent="0.2">
      <c r="Y109" s="221"/>
      <c r="Z109" s="223"/>
    </row>
    <row r="110" spans="25:26" ht="15" x14ac:dyDescent="0.2">
      <c r="Y110" s="221"/>
      <c r="Z110" s="223"/>
    </row>
    <row r="111" spans="25:26" ht="15" x14ac:dyDescent="0.2">
      <c r="Y111" s="221"/>
      <c r="Z111" s="223"/>
    </row>
    <row r="112" spans="25:26" ht="15" x14ac:dyDescent="0.2">
      <c r="Y112" s="221"/>
      <c r="Z112" s="223"/>
    </row>
    <row r="113" spans="25:26" ht="15" x14ac:dyDescent="0.2">
      <c r="Y113" s="221"/>
      <c r="Z113" s="223"/>
    </row>
    <row r="114" spans="25:26" ht="15" x14ac:dyDescent="0.2">
      <c r="Y114" s="221"/>
      <c r="Z114" s="223"/>
    </row>
    <row r="115" spans="25:26" ht="15" x14ac:dyDescent="0.2">
      <c r="Y115" s="221"/>
      <c r="Z115" s="223"/>
    </row>
    <row r="116" spans="25:26" x14ac:dyDescent="0.2">
      <c r="Y116" s="221"/>
    </row>
    <row r="117" spans="25:26" x14ac:dyDescent="0.2">
      <c r="Y117" s="221"/>
    </row>
    <row r="118" spans="25:26" x14ac:dyDescent="0.2">
      <c r="Y118" s="221"/>
    </row>
    <row r="119" spans="25:26" x14ac:dyDescent="0.2">
      <c r="Y119" s="221"/>
    </row>
    <row r="120" spans="25:26" x14ac:dyDescent="0.2">
      <c r="Y120" s="221"/>
    </row>
    <row r="121" spans="25:26" x14ac:dyDescent="0.2">
      <c r="Y121" s="221"/>
    </row>
    <row r="122" spans="25:26" x14ac:dyDescent="0.2">
      <c r="Y122" s="221"/>
    </row>
    <row r="123" spans="25:26" x14ac:dyDescent="0.2">
      <c r="Y123" s="221"/>
    </row>
    <row r="124" spans="25:26" x14ac:dyDescent="0.2">
      <c r="Y124" s="221"/>
    </row>
    <row r="125" spans="25:26" x14ac:dyDescent="0.2">
      <c r="Y125" s="221"/>
    </row>
    <row r="126" spans="25:26" x14ac:dyDescent="0.2">
      <c r="Y126" s="221"/>
    </row>
    <row r="127" spans="25:26" x14ac:dyDescent="0.2">
      <c r="Y127" s="221"/>
    </row>
    <row r="128" spans="25:26" x14ac:dyDescent="0.2">
      <c r="Y128" s="221"/>
    </row>
    <row r="129" spans="25:25" x14ac:dyDescent="0.2">
      <c r="Y129" s="221"/>
    </row>
    <row r="130" spans="25:25" x14ac:dyDescent="0.2">
      <c r="Y130" s="221"/>
    </row>
    <row r="131" spans="25:25" x14ac:dyDescent="0.2">
      <c r="Y131" s="221"/>
    </row>
    <row r="132" spans="25:25" x14ac:dyDescent="0.2">
      <c r="Y132" s="221"/>
    </row>
    <row r="133" spans="25:25" x14ac:dyDescent="0.2">
      <c r="Y133" s="221"/>
    </row>
    <row r="134" spans="25:25" x14ac:dyDescent="0.2">
      <c r="Y134" s="221"/>
    </row>
    <row r="135" spans="25:25" x14ac:dyDescent="0.2">
      <c r="Y135" s="221"/>
    </row>
    <row r="136" spans="25:25" x14ac:dyDescent="0.2">
      <c r="Y136" s="221"/>
    </row>
    <row r="137" spans="25:25" x14ac:dyDescent="0.2">
      <c r="Y137" s="221"/>
    </row>
    <row r="138" spans="25:25" x14ac:dyDescent="0.2">
      <c r="Y138" s="221"/>
    </row>
    <row r="139" spans="25:25" x14ac:dyDescent="0.2">
      <c r="Y139" s="221"/>
    </row>
    <row r="140" spans="25:25" x14ac:dyDescent="0.2">
      <c r="Y140" s="221"/>
    </row>
    <row r="141" spans="25:25" x14ac:dyDescent="0.2">
      <c r="Y141" s="221"/>
    </row>
    <row r="142" spans="25:25" x14ac:dyDescent="0.2">
      <c r="Y142" s="221"/>
    </row>
    <row r="143" spans="25:25" x14ac:dyDescent="0.2">
      <c r="Y143" s="221"/>
    </row>
    <row r="144" spans="25:25" x14ac:dyDescent="0.2">
      <c r="Y144" s="221"/>
    </row>
    <row r="145" spans="25:25" x14ac:dyDescent="0.2">
      <c r="Y145" s="221"/>
    </row>
    <row r="146" spans="25:25" x14ac:dyDescent="0.2">
      <c r="Y146" s="221"/>
    </row>
    <row r="147" spans="25:25" x14ac:dyDescent="0.2">
      <c r="Y147" s="221"/>
    </row>
    <row r="148" spans="25:25" x14ac:dyDescent="0.2">
      <c r="Y148" s="221"/>
    </row>
    <row r="149" spans="25:25" x14ac:dyDescent="0.2">
      <c r="Y149" s="221"/>
    </row>
    <row r="150" spans="25:25" x14ac:dyDescent="0.2">
      <c r="Y150" s="221"/>
    </row>
    <row r="151" spans="25:25" x14ac:dyDescent="0.2">
      <c r="Y151" s="221"/>
    </row>
    <row r="152" spans="25:25" x14ac:dyDescent="0.2">
      <c r="Y152" s="221"/>
    </row>
    <row r="153" spans="25:25" x14ac:dyDescent="0.2">
      <c r="Y153" s="221"/>
    </row>
    <row r="154" spans="25:25" x14ac:dyDescent="0.2">
      <c r="Y154" s="221"/>
    </row>
    <row r="155" spans="25:25" x14ac:dyDescent="0.2">
      <c r="Y155" s="221"/>
    </row>
    <row r="156" spans="25:25" x14ac:dyDescent="0.2">
      <c r="Y156" s="221"/>
    </row>
    <row r="157" spans="25:25" x14ac:dyDescent="0.2">
      <c r="Y157" s="221"/>
    </row>
    <row r="158" spans="25:25" x14ac:dyDescent="0.2">
      <c r="Y158" s="221"/>
    </row>
    <row r="159" spans="25:25" x14ac:dyDescent="0.2">
      <c r="Y159" s="221"/>
    </row>
    <row r="160" spans="25:25" x14ac:dyDescent="0.2">
      <c r="Y160" s="221"/>
    </row>
    <row r="161" spans="25:25" x14ac:dyDescent="0.2">
      <c r="Y161" s="221"/>
    </row>
    <row r="162" spans="25:25" x14ac:dyDescent="0.2">
      <c r="Y162" s="221"/>
    </row>
    <row r="163" spans="25:25" x14ac:dyDescent="0.2">
      <c r="Y163" s="221"/>
    </row>
    <row r="164" spans="25:25" x14ac:dyDescent="0.2">
      <c r="Y164" s="221"/>
    </row>
    <row r="165" spans="25:25" x14ac:dyDescent="0.2">
      <c r="Y165" s="221"/>
    </row>
    <row r="166" spans="25:25" x14ac:dyDescent="0.2">
      <c r="Y166" s="221"/>
    </row>
    <row r="167" spans="25:25" x14ac:dyDescent="0.2">
      <c r="Y167" s="221"/>
    </row>
    <row r="168" spans="25:25" x14ac:dyDescent="0.2">
      <c r="Y168" s="221"/>
    </row>
  </sheetData>
  <sheetProtection formatCells="0" selectLockedCells="1"/>
  <mergeCells count="10">
    <mergeCell ref="T23:W24"/>
    <mergeCell ref="T28:W29"/>
    <mergeCell ref="U38:U39"/>
    <mergeCell ref="V38:W39"/>
    <mergeCell ref="M6:T6"/>
    <mergeCell ref="V6:W6"/>
    <mergeCell ref="M7:W10"/>
    <mergeCell ref="Q11:W12"/>
    <mergeCell ref="Q13:W14"/>
    <mergeCell ref="T17:W19"/>
  </mergeCells>
  <conditionalFormatting sqref="A4 A6 A8 A10 A12 A14 A16 A18 A20 A22 A24 A26 A28 A30 A32 A34 A36 D5 D9 D13 D17 D21 D25 D29 D33 G7 G15 M11 J23 M29 J34 G31 A38 G37">
    <cfRule type="expression" dxfId="157" priority="36" stopIfTrue="1">
      <formula>B4&lt;&gt;""</formula>
    </cfRule>
  </conditionalFormatting>
  <conditionalFormatting sqref="B5 Z5 Z62:Z115 Z41 Z53:Z60 B9 B13 B17 B21 B25 B29 B33 B37 B44 B48 B52 B56 Z45">
    <cfRule type="expression" dxfId="156" priority="33" stopIfTrue="1">
      <formula>B4&lt;&gt;""</formula>
    </cfRule>
  </conditionalFormatting>
  <conditionalFormatting sqref="A5 A9 A13 A17 A21 A25 A29 A33 A37 A44 A48 A52 A56">
    <cfRule type="expression" dxfId="155" priority="32" stopIfTrue="1">
      <formula>B4&lt;&gt;""</formula>
    </cfRule>
  </conditionalFormatting>
  <conditionalFormatting sqref="D7 D15 D23 D31">
    <cfRule type="expression" dxfId="154" priority="31" stopIfTrue="1">
      <formula>E5&lt;&gt;""</formula>
    </cfRule>
  </conditionalFormatting>
  <conditionalFormatting sqref="P44">
    <cfRule type="expression" dxfId="153" priority="30" stopIfTrue="1">
      <formula>Q48&lt;&gt;""</formula>
    </cfRule>
  </conditionalFormatting>
  <conditionalFormatting sqref="Q44">
    <cfRule type="expression" dxfId="152" priority="29" stopIfTrue="1">
      <formula>Q48&lt;&gt;""</formula>
    </cfRule>
  </conditionalFormatting>
  <conditionalFormatting sqref="J58">
    <cfRule type="expression" dxfId="151" priority="28" stopIfTrue="1">
      <formula>K23&lt;&gt;""</formula>
    </cfRule>
  </conditionalFormatting>
  <conditionalFormatting sqref="K30">
    <cfRule type="expression" dxfId="150" priority="27" stopIfTrue="1">
      <formula>K23&lt;&gt;""</formula>
    </cfRule>
  </conditionalFormatting>
  <conditionalFormatting sqref="N57">
    <cfRule type="expression" dxfId="149" priority="24" stopIfTrue="1">
      <formula>N11&lt;&gt;""</formula>
    </cfRule>
  </conditionalFormatting>
  <conditionalFormatting sqref="E7 E15 E23 E31">
    <cfRule type="expression" dxfId="148" priority="23" stopIfTrue="1">
      <formula>E5&lt;&gt;""</formula>
    </cfRule>
  </conditionalFormatting>
  <conditionalFormatting sqref="K58">
    <cfRule type="expression" dxfId="147" priority="22" stopIfTrue="1">
      <formula>K23&lt;&gt;""</formula>
    </cfRule>
  </conditionalFormatting>
  <conditionalFormatting sqref="M57">
    <cfRule type="expression" dxfId="146" priority="20" stopIfTrue="1">
      <formula>N11&lt;&gt;""</formula>
    </cfRule>
  </conditionalFormatting>
  <conditionalFormatting sqref="A43 A45 A47 A49 A51 A53 A55 A57 D42 D44 D46 D48 D50 D52 D58 G55 P56 G47 J51 G53 P48 G57 G59 G43 M45 J57 J59 M52 J54 M56 M58">
    <cfRule type="expression" dxfId="145" priority="19" stopIfTrue="1">
      <formula>B42&lt;&gt;""</formula>
    </cfRule>
  </conditionalFormatting>
  <conditionalFormatting sqref="Z44 Z52 Z61">
    <cfRule type="expression" dxfId="144" priority="16" stopIfTrue="1">
      <formula>#REF!&lt;&gt;""</formula>
    </cfRule>
  </conditionalFormatting>
  <conditionalFormatting sqref="K34 H37 E9 B18 N11 B8 H15 B4 E5 E21 E25 B6 E13 E17 E29 H31 B10 N29 B36 K23 H7 B16 B14 B12 B38 E33 B34 B32 B30 B28 B26 B24 B22 B20">
    <cfRule type="cellIs" dxfId="143" priority="15" stopIfTrue="1" operator="notEqual">
      <formula>""</formula>
    </cfRule>
  </conditionalFormatting>
  <conditionalFormatting sqref="W36">
    <cfRule type="expression" dxfId="142" priority="14" stopIfTrue="1">
      <formula>$V$37&lt;$V$40</formula>
    </cfRule>
  </conditionalFormatting>
  <conditionalFormatting sqref="W37">
    <cfRule type="expression" dxfId="141" priority="12" stopIfTrue="1">
      <formula>$V$37&lt;$V$40</formula>
    </cfRule>
    <cfRule type="expression" dxfId="140" priority="13" stopIfTrue="1">
      <formula>$V$37&gt;$V$40</formula>
    </cfRule>
  </conditionalFormatting>
  <conditionalFormatting sqref="Q11:W12 M7:W10">
    <cfRule type="expression" dxfId="139" priority="10" stopIfTrue="1">
      <formula>$W$2=1</formula>
    </cfRule>
    <cfRule type="expression" dxfId="138" priority="11" stopIfTrue="1">
      <formula>$W$2=2</formula>
    </cfRule>
  </conditionalFormatting>
  <conditionalFormatting sqref="Q13:W14">
    <cfRule type="expression" dxfId="137" priority="8" stopIfTrue="1">
      <formula>$W$2=1</formula>
    </cfRule>
    <cfRule type="expression" dxfId="136" priority="9" stopIfTrue="1">
      <formula>$W$2=2</formula>
    </cfRule>
  </conditionalFormatting>
  <conditionalFormatting sqref="B27">
    <cfRule type="expression" priority="6" stopIfTrue="1">
      <formula>$B$4=0</formula>
    </cfRule>
    <cfRule type="expression" priority="7" stopIfTrue="1">
      <formula>$B$6=0</formula>
    </cfRule>
  </conditionalFormatting>
  <conditionalFormatting sqref="N45 N52 E60 K54 K51 H43 H55 E58 B43 B45 B47 B49 B51 B53 B55 B57 E42 E44 E46 E48 E50 E52 Q56 H47 H53 Q48 H57 H59 K57 K59 N56 N58">
    <cfRule type="cellIs" dxfId="135" priority="5" stopIfTrue="1" operator="notEqual">
      <formula>""</formula>
    </cfRule>
  </conditionalFormatting>
  <conditionalFormatting sqref="W40">
    <cfRule type="expression" dxfId="134" priority="4" stopIfTrue="1">
      <formula>V37&lt;V40</formula>
    </cfRule>
  </conditionalFormatting>
  <conditionalFormatting sqref="D43">
    <cfRule type="expression" dxfId="133" priority="37" stopIfTrue="1">
      <formula>H37&lt;&gt;""</formula>
    </cfRule>
  </conditionalFormatting>
  <conditionalFormatting sqref="E43">
    <cfRule type="expression" dxfId="132" priority="38" stopIfTrue="1">
      <formula>H37&lt;&gt;""</formula>
    </cfRule>
  </conditionalFormatting>
  <conditionalFormatting sqref="Q52">
    <cfRule type="expression" dxfId="131" priority="39" stopIfTrue="1">
      <formula>N52&lt;&gt;""</formula>
    </cfRule>
  </conditionalFormatting>
  <conditionalFormatting sqref="G34:H34">
    <cfRule type="expression" dxfId="130" priority="40" stopIfTrue="1">
      <formula>#REF!&lt;&gt;""</formula>
    </cfRule>
  </conditionalFormatting>
  <conditionalFormatting sqref="P52">
    <cfRule type="expression" dxfId="129" priority="41" stopIfTrue="1">
      <formula>N52&lt;&gt;""</formula>
    </cfRule>
  </conditionalFormatting>
  <conditionalFormatting sqref="N19">
    <cfRule type="expression" dxfId="128" priority="43" stopIfTrue="1">
      <formula>H43&lt;&gt;""</formula>
    </cfRule>
  </conditionalFormatting>
  <conditionalFormatting sqref="M19">
    <cfRule type="expression" dxfId="127" priority="44" stopIfTrue="1">
      <formula>K54&lt;&gt;""</formula>
    </cfRule>
  </conditionalFormatting>
  <conditionalFormatting sqref="A60">
    <cfRule type="expression" dxfId="126" priority="45" stopIfTrue="1">
      <formula>E60&lt;&gt;""</formula>
    </cfRule>
  </conditionalFormatting>
  <conditionalFormatting sqref="D60">
    <cfRule type="expression" dxfId="125" priority="2" stopIfTrue="1">
      <formula>E60&lt;&gt;""</formula>
    </cfRule>
  </conditionalFormatting>
  <conditionalFormatting sqref="E47">
    <cfRule type="expression" dxfId="124" priority="46" stopIfTrue="1">
      <formula>E42&lt;&gt;""</formula>
    </cfRule>
  </conditionalFormatting>
  <conditionalFormatting sqref="D47">
    <cfRule type="expression" dxfId="123" priority="47" stopIfTrue="1">
      <formula>E42&lt;&gt;""</formula>
    </cfRule>
  </conditionalFormatting>
  <conditionalFormatting sqref="E51">
    <cfRule type="expression" dxfId="122" priority="48" stopIfTrue="1">
      <formula>E46&lt;&gt;""</formula>
    </cfRule>
  </conditionalFormatting>
  <conditionalFormatting sqref="D51">
    <cfRule type="expression" dxfId="121" priority="49" stopIfTrue="1">
      <formula>E46&lt;&gt;""</formula>
    </cfRule>
  </conditionalFormatting>
  <conditionalFormatting sqref="E59">
    <cfRule type="expression" dxfId="120" priority="50" stopIfTrue="1">
      <formula>E50&lt;&gt;""</formula>
    </cfRule>
  </conditionalFormatting>
  <conditionalFormatting sqref="D59">
    <cfRule type="expression" dxfId="119" priority="51" stopIfTrue="1">
      <formula>E50&lt;&gt;""</formula>
    </cfRule>
  </conditionalFormatting>
  <conditionalFormatting sqref="H11">
    <cfRule type="expression" dxfId="118" priority="132" stopIfTrue="1">
      <formula>E58&lt;&gt;""</formula>
    </cfRule>
  </conditionalFormatting>
  <conditionalFormatting sqref="G11">
    <cfRule type="expression" dxfId="117" priority="134" stopIfTrue="1">
      <formula>E58&lt;&gt;""</formula>
    </cfRule>
  </conditionalFormatting>
  <conditionalFormatting sqref="G45">
    <cfRule type="expression" dxfId="116" priority="135" stopIfTrue="1">
      <formula>H7&lt;&gt;""</formula>
    </cfRule>
  </conditionalFormatting>
  <conditionalFormatting sqref="H45">
    <cfRule type="expression" dxfId="115" priority="136" stopIfTrue="1">
      <formula>H7&lt;&gt;""</formula>
    </cfRule>
  </conditionalFormatting>
  <conditionalFormatting sqref="K29">
    <cfRule type="expression" dxfId="114" priority="137" stopIfTrue="1">
      <formula>H53&lt;&gt;""</formula>
    </cfRule>
  </conditionalFormatting>
  <conditionalFormatting sqref="J29">
    <cfRule type="expression" dxfId="113" priority="138" stopIfTrue="1">
      <formula>H53&lt;&gt;""</formula>
    </cfRule>
  </conditionalFormatting>
  <conditionalFormatting sqref="G54">
    <cfRule type="expression" dxfId="112" priority="139" stopIfTrue="1">
      <formula>H31&lt;&gt;""</formula>
    </cfRule>
  </conditionalFormatting>
  <conditionalFormatting sqref="H54">
    <cfRule type="expression" dxfId="111" priority="140" stopIfTrue="1">
      <formula>H31&lt;&gt;""</formula>
    </cfRule>
  </conditionalFormatting>
  <conditionalFormatting sqref="K52">
    <cfRule type="expression" dxfId="110" priority="141" stopIfTrue="1">
      <formula>H57&lt;&gt;""</formula>
    </cfRule>
  </conditionalFormatting>
  <conditionalFormatting sqref="J52">
    <cfRule type="expression" dxfId="109" priority="142" stopIfTrue="1">
      <formula>H57&lt;&gt;""</formula>
    </cfRule>
  </conditionalFormatting>
  <conditionalFormatting sqref="G58">
    <cfRule type="expression" dxfId="108" priority="143" stopIfTrue="1">
      <formula>H47&lt;&gt;""</formula>
    </cfRule>
  </conditionalFormatting>
  <conditionalFormatting sqref="H58">
    <cfRule type="expression" dxfId="107" priority="144" stopIfTrue="1">
      <formula>H47&lt;&gt;""</formula>
    </cfRule>
  </conditionalFormatting>
  <conditionalFormatting sqref="N48">
    <cfRule type="expression" dxfId="106" priority="145" stopIfTrue="1">
      <formula>K57&lt;&gt;""</formula>
    </cfRule>
  </conditionalFormatting>
  <conditionalFormatting sqref="M48">
    <cfRule type="expression" dxfId="105" priority="146" stopIfTrue="1">
      <formula>K57&lt;&gt;""</formula>
    </cfRule>
  </conditionalFormatting>
  <conditionalFormatting sqref="N40">
    <cfRule type="expression" dxfId="104" priority="147" stopIfTrue="1">
      <formula>N56&lt;&gt;""</formula>
    </cfRule>
  </conditionalFormatting>
  <conditionalFormatting sqref="M40">
    <cfRule type="expression" dxfId="103" priority="148" stopIfTrue="1">
      <formula>N56&lt;&gt;""</formula>
    </cfRule>
  </conditionalFormatting>
  <conditionalFormatting sqref="Z40">
    <cfRule type="expression" dxfId="102" priority="149" stopIfTrue="1">
      <formula>Q44&lt;&gt;""</formula>
    </cfRule>
  </conditionalFormatting>
  <conditionalFormatting sqref="B60">
    <cfRule type="expression" dxfId="101" priority="1" stopIfTrue="1">
      <formula>$E$60&lt;&gt;""</formula>
    </cfRule>
  </conditionalFormatting>
  <printOptions horizontalCentered="1" verticalCentered="1"/>
  <pageMargins left="0.75" right="0.75" top="0" bottom="0" header="0" footer="0"/>
  <pageSetup paperSize="8" scale="44" orientation="portrait" horizontalDpi="300" verticalDpi="30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4"/>
  <dimension ref="A1:AA231"/>
  <sheetViews>
    <sheetView zoomScale="75" zoomScaleNormal="75" zoomScaleSheetLayoutView="25" workbookViewId="0">
      <selection activeCell="K40" sqref="K40"/>
    </sheetView>
  </sheetViews>
  <sheetFormatPr defaultRowHeight="15" x14ac:dyDescent="0.25"/>
  <cols>
    <col min="1" max="1" width="20" style="208" customWidth="1"/>
    <col min="2" max="2" width="5.625" style="209" customWidth="1"/>
    <col min="3" max="3" width="6.25" style="209" customWidth="1"/>
    <col min="4" max="4" width="20" style="210" customWidth="1"/>
    <col min="5" max="5" width="5.625" style="211" customWidth="1"/>
    <col min="6" max="6" width="6.25" style="211" customWidth="1"/>
    <col min="7" max="7" width="20" style="210" customWidth="1"/>
    <col min="8" max="8" width="5.625" style="211" customWidth="1"/>
    <col min="9" max="9" width="6.25" style="211" customWidth="1"/>
    <col min="10" max="10" width="20" style="210" customWidth="1"/>
    <col min="11" max="11" width="5.625" style="211" customWidth="1"/>
    <col min="12" max="12" width="6.25" style="211" customWidth="1"/>
    <col min="13" max="13" width="20" style="210" customWidth="1"/>
    <col min="14" max="14" width="5.625" style="210" customWidth="1"/>
    <col min="15" max="15" width="6.25" style="210" customWidth="1"/>
    <col min="16" max="16" width="20" style="210" customWidth="1"/>
    <col min="17" max="17" width="5.625" style="210" customWidth="1"/>
    <col min="18" max="18" width="5.75" style="210" customWidth="1"/>
    <col min="19" max="19" width="4.25" style="211" customWidth="1"/>
    <col min="20" max="20" width="6.25" style="211" customWidth="1"/>
    <col min="21" max="21" width="20" style="210" customWidth="1"/>
    <col min="22" max="22" width="4.375" style="210" customWidth="1"/>
    <col min="23" max="23" width="4.375" style="211" customWidth="1"/>
    <col min="24" max="24" width="8.25" style="214" customWidth="1"/>
    <col min="25" max="25" width="4.375" style="215" customWidth="1"/>
    <col min="26" max="26" width="9.375" style="267" customWidth="1"/>
    <col min="27" max="42" width="5" style="214" customWidth="1"/>
    <col min="43" max="16384" width="9" style="214"/>
  </cols>
  <sheetData>
    <row r="1" spans="1:26" ht="12.75" customHeight="1" x14ac:dyDescent="0.25"/>
    <row r="2" spans="1:26" s="206" customFormat="1" ht="15" customHeight="1" x14ac:dyDescent="0.2">
      <c r="A2" s="282" t="s">
        <v>18</v>
      </c>
      <c r="B2" s="282"/>
      <c r="C2" s="282"/>
      <c r="D2" s="282" t="s">
        <v>19</v>
      </c>
      <c r="E2" s="282"/>
      <c r="F2" s="282"/>
      <c r="G2" s="282" t="s">
        <v>20</v>
      </c>
      <c r="H2" s="282"/>
      <c r="I2" s="282"/>
      <c r="J2" s="282" t="s">
        <v>21</v>
      </c>
      <c r="K2" s="282"/>
      <c r="L2" s="282"/>
      <c r="M2" s="282" t="s">
        <v>22</v>
      </c>
      <c r="N2" s="282"/>
      <c r="O2" s="282"/>
      <c r="P2" s="282" t="s">
        <v>23</v>
      </c>
      <c r="Q2" s="203"/>
      <c r="R2" s="205">
        <f>CONFIGURAR!B14</f>
        <v>2</v>
      </c>
      <c r="S2" s="203"/>
      <c r="T2" s="203"/>
      <c r="U2" s="203"/>
      <c r="V2" s="204"/>
      <c r="Y2" s="207"/>
      <c r="Z2" s="245"/>
    </row>
    <row r="3" spans="1:26" ht="26.25" customHeight="1" x14ac:dyDescent="0.25">
      <c r="J3" s="212"/>
      <c r="K3" s="213"/>
      <c r="L3" s="213"/>
      <c r="M3" s="213"/>
      <c r="N3" s="213"/>
      <c r="O3" s="213"/>
      <c r="P3" s="213"/>
      <c r="Q3" s="213"/>
      <c r="R3" s="213"/>
      <c r="S3" s="213"/>
      <c r="T3" s="213"/>
      <c r="U3" s="213"/>
      <c r="V3" s="213"/>
      <c r="W3" s="213"/>
    </row>
    <row r="4" spans="1:26" s="221" customFormat="1" ht="23.25" customHeight="1" x14ac:dyDescent="0.2">
      <c r="A4" s="216" t="str">
        <f>CONFIGURAR!AD8</f>
        <v>C</v>
      </c>
      <c r="B4" s="217"/>
      <c r="C4" s="218"/>
      <c r="D4" s="219"/>
      <c r="E4" s="220"/>
      <c r="F4" s="220"/>
      <c r="G4" s="219"/>
      <c r="H4" s="220"/>
      <c r="I4" s="220"/>
      <c r="J4" s="213"/>
      <c r="K4" s="213"/>
      <c r="L4" s="213"/>
      <c r="M4" s="213"/>
      <c r="N4" s="213"/>
      <c r="O4" s="213"/>
      <c r="P4" s="213"/>
      <c r="Q4" s="213"/>
      <c r="R4" s="213"/>
      <c r="S4" s="213"/>
      <c r="T4" s="213"/>
      <c r="U4" s="213"/>
      <c r="V4" s="213"/>
      <c r="W4" s="213"/>
      <c r="Z4" s="268"/>
    </row>
    <row r="5" spans="1:26" s="221" customFormat="1" ht="23.25" customHeight="1" x14ac:dyDescent="0.2">
      <c r="A5" s="222" t="s">
        <v>0</v>
      </c>
      <c r="B5" s="223">
        <f>CONFIGURAR!$D$18</f>
        <v>0.41666666666666669</v>
      </c>
      <c r="C5" s="224"/>
      <c r="D5" s="216" t="str">
        <f>IF(B4="","Vencedor Jogo 1",IF(B4&gt;B6,A4,A6))</f>
        <v>Vencedor Jogo 1</v>
      </c>
      <c r="E5" s="217"/>
      <c r="F5" s="225"/>
      <c r="G5" s="226"/>
      <c r="H5" s="218"/>
      <c r="I5" s="218"/>
      <c r="J5" s="219"/>
      <c r="K5" s="220"/>
      <c r="L5" s="220"/>
    </row>
    <row r="6" spans="1:26" s="221" customFormat="1" ht="23.25" customHeight="1" x14ac:dyDescent="0.2">
      <c r="A6" s="216" t="str">
        <f>CONFIGURAR!AD10</f>
        <v>E</v>
      </c>
      <c r="B6" s="217"/>
      <c r="C6" s="218"/>
      <c r="D6" s="269"/>
      <c r="E6" s="218"/>
      <c r="F6" s="220"/>
      <c r="G6" s="219"/>
      <c r="H6" s="220"/>
      <c r="I6" s="220"/>
      <c r="J6" s="318" t="str">
        <f>IF(CONFIGURAR!$D$11="","",CONFIGURAR!$D$11)</f>
        <v>Xxx Xxxxxxxxxxx</v>
      </c>
      <c r="K6" s="318"/>
      <c r="L6" s="318"/>
      <c r="M6" s="318"/>
      <c r="N6" s="318"/>
      <c r="O6" s="318"/>
      <c r="P6" s="295">
        <f>IF(CONFIGURAR!$G$10="","",CONFIGURAR!$G$10)</f>
        <v>43523</v>
      </c>
      <c r="Q6" s="319">
        <f>IF(CONFIGURAR!$D$10="","",CONFIGURAR!$D$10)</f>
        <v>0.41666666666666669</v>
      </c>
      <c r="R6" s="319"/>
    </row>
    <row r="7" spans="1:26" s="221" customFormat="1" ht="23.25" customHeight="1" x14ac:dyDescent="0.2">
      <c r="A7" s="228"/>
      <c r="B7" s="229"/>
      <c r="C7" s="229"/>
      <c r="D7" s="222" t="s">
        <v>10</v>
      </c>
      <c r="E7" s="223">
        <f>IF(CONFIGURAR!$D$21=1,CONFIGURAR!AD53,IF(CONFIGURAR!$D$21=2,CONFIGURAR!AE53,IF(CONFIGURAR!$D$21=3,CONFIGURAR!AF53,IF(CONFIGURAR!$D$21=4,CONFIGURAR!AG53,IF(CONFIGURAR!$D$21=5,CONFIGURAR!AH53,IF(CONFIGURAR!$D$21=6,CONFIGURAR!AI53,""))))))</f>
        <v>0.4583333333333332</v>
      </c>
      <c r="F7" s="230"/>
      <c r="G7" s="216" t="str">
        <f>IF(E5="","Vencedor Jogo 13",IF(E5&gt;E9,D5,D9))</f>
        <v>Vencedor Jogo 13</v>
      </c>
      <c r="H7" s="217"/>
      <c r="I7" s="225"/>
      <c r="J7" s="322" t="str">
        <f>CONFIGURAR!$D$9</f>
        <v>Xxxxxxx Xxxxxxxxxxxxx</v>
      </c>
      <c r="K7" s="322"/>
      <c r="L7" s="322"/>
      <c r="M7" s="322"/>
      <c r="N7" s="322"/>
      <c r="O7" s="322"/>
      <c r="P7" s="322"/>
      <c r="Q7" s="322"/>
      <c r="R7" s="322"/>
      <c r="S7" s="283"/>
      <c r="T7" s="283"/>
      <c r="X7" s="284"/>
    </row>
    <row r="8" spans="1:26" s="221" customFormat="1" ht="23.25" customHeight="1" x14ac:dyDescent="0.2">
      <c r="A8" s="216" t="str">
        <f>CONFIGURAR!AD21</f>
        <v>P</v>
      </c>
      <c r="B8" s="217"/>
      <c r="C8" s="218"/>
      <c r="D8" s="269"/>
      <c r="E8" s="218"/>
      <c r="F8" s="220"/>
      <c r="H8" s="270"/>
      <c r="I8" s="224"/>
      <c r="J8" s="322"/>
      <c r="K8" s="322"/>
      <c r="L8" s="322"/>
      <c r="M8" s="322"/>
      <c r="N8" s="322"/>
      <c r="O8" s="322"/>
      <c r="P8" s="322"/>
      <c r="Q8" s="322"/>
      <c r="R8" s="322"/>
      <c r="S8" s="283"/>
      <c r="T8" s="283"/>
    </row>
    <row r="9" spans="1:26" s="221" customFormat="1" ht="23.25" customHeight="1" x14ac:dyDescent="0.2">
      <c r="A9" s="222" t="s">
        <v>1</v>
      </c>
      <c r="B9" s="223">
        <f>IF(CONFIGURAR!$D$21=1,CONFIGURAR!AD42,IF(CONFIGURAR!$D$21=2,CONFIGURAR!AE42,IF(CONFIGURAR!$D$21=3,CONFIGURAR!AF42,IF(CONFIGURAR!$D$21=4,CONFIGURAR!AG42,IF(CONFIGURAR!$D$21=5,CONFIGURAR!AH42,IF(CONFIGURAR!$D$21=6,CONFIGURAR!AI42,""))))))</f>
        <v>0.4201388888888889</v>
      </c>
      <c r="C9" s="224"/>
      <c r="D9" s="216" t="str">
        <f>IF(B8="","Vencedor Jogo 2",IF(B8&gt;B10,A8,A10))</f>
        <v>Vencedor Jogo 2</v>
      </c>
      <c r="E9" s="217"/>
      <c r="F9" s="218"/>
      <c r="G9" s="219"/>
      <c r="H9" s="218"/>
      <c r="I9" s="220"/>
      <c r="J9" s="322"/>
      <c r="K9" s="322"/>
      <c r="L9" s="322"/>
      <c r="M9" s="322"/>
      <c r="N9" s="322"/>
      <c r="O9" s="322"/>
      <c r="P9" s="322"/>
      <c r="Q9" s="322"/>
      <c r="R9" s="322"/>
      <c r="S9" s="283"/>
      <c r="T9" s="283"/>
    </row>
    <row r="10" spans="1:26" s="221" customFormat="1" ht="23.25" customHeight="1" x14ac:dyDescent="0.2">
      <c r="A10" s="216" t="str">
        <f>CONFIGURAR!AD13</f>
        <v>H</v>
      </c>
      <c r="B10" s="217"/>
      <c r="C10" s="218"/>
      <c r="D10" s="269"/>
      <c r="E10" s="218"/>
      <c r="F10" s="220"/>
      <c r="G10" s="219"/>
      <c r="H10" s="218"/>
      <c r="I10" s="220"/>
      <c r="J10" s="283"/>
      <c r="K10" s="283"/>
      <c r="L10" s="283"/>
      <c r="N10" s="326" t="str">
        <f>UPPER(CONFIGURAR!$D$12)</f>
        <v>XXXXXXXX</v>
      </c>
      <c r="O10" s="326"/>
      <c r="P10" s="326"/>
      <c r="Q10" s="326"/>
      <c r="R10" s="326"/>
      <c r="S10" s="283"/>
      <c r="T10" s="283"/>
    </row>
    <row r="11" spans="1:26" s="221" customFormat="1" ht="23.25" customHeight="1" x14ac:dyDescent="0.2">
      <c r="A11" s="228"/>
      <c r="B11" s="229"/>
      <c r="C11" s="229"/>
      <c r="D11" s="271"/>
      <c r="E11" s="270"/>
      <c r="F11" s="224"/>
      <c r="G11" s="222" t="s">
        <v>16</v>
      </c>
      <c r="H11" s="223">
        <f>IF(CONFIGURAR!$D$21=1,CONFIGURAR!AD61,IF(CONFIGURAR!$D$21=2,CONFIGURAR!AE61,IF(CONFIGURAR!$D$21=3,CONFIGURAR!AF61,IF(CONFIGURAR!$D$21=4,CONFIGURAR!AG61,IF(CONFIGURAR!$D$21=5,CONFIGURAR!AH61,IF(CONFIGURAR!$D$21=6,CONFIGURAR!AI61,""))))))</f>
        <v>0.48611111111111088</v>
      </c>
      <c r="I11" s="218"/>
      <c r="J11" s="216" t="str">
        <f>IF(H7="","Vencedor Jogo 21",IF(H7&gt;H15,G7,G15))</f>
        <v>Vencedor Jogo 21</v>
      </c>
      <c r="K11" s="217"/>
      <c r="L11" s="218"/>
      <c r="N11" s="326"/>
      <c r="O11" s="326"/>
      <c r="P11" s="326"/>
      <c r="Q11" s="326"/>
      <c r="R11" s="326"/>
      <c r="S11" s="285"/>
      <c r="T11" s="285"/>
      <c r="U11" s="285"/>
      <c r="W11" s="285"/>
    </row>
    <row r="12" spans="1:26" s="221" customFormat="1" ht="23.25" customHeight="1" x14ac:dyDescent="0.2">
      <c r="A12" s="216" t="str">
        <f>CONFIGURAR!AD6</f>
        <v>A</v>
      </c>
      <c r="B12" s="217"/>
      <c r="C12" s="218"/>
      <c r="D12" s="269"/>
      <c r="E12" s="218"/>
      <c r="F12" s="220"/>
      <c r="G12" s="219"/>
      <c r="H12" s="218"/>
      <c r="I12" s="220"/>
      <c r="J12" s="219"/>
      <c r="K12" s="272"/>
      <c r="L12" s="220"/>
      <c r="N12" s="327" t="str">
        <f>IF(R2=1,"FEMININO",IF(R2=2,"MASCULINO",IF(R2=3,"MISTO","")))</f>
        <v>MASCULINO</v>
      </c>
      <c r="O12" s="327"/>
      <c r="P12" s="327"/>
      <c r="Q12" s="327"/>
      <c r="R12" s="327"/>
      <c r="S12" s="285"/>
      <c r="T12" s="285"/>
      <c r="U12" s="285"/>
      <c r="W12" s="285"/>
    </row>
    <row r="13" spans="1:26" s="221" customFormat="1" ht="23.25" customHeight="1" x14ac:dyDescent="0.2">
      <c r="A13" s="222" t="s">
        <v>4</v>
      </c>
      <c r="B13" s="223">
        <f>IF(CONFIGURAR!$D$21=1,CONFIGURAR!AD43,IF(CONFIGURAR!$D$21=2,CONFIGURAR!AE43,IF(CONFIGURAR!$D$21=3,CONFIGURAR!AF43,IF(CONFIGURAR!$D$21=4,CONFIGURAR!AG43,IF(CONFIGURAR!$D$21=5,CONFIGURAR!AH43,IF(CONFIGURAR!$D$21=6,CONFIGURAR!AI43,""))))))</f>
        <v>0.4236111111111111</v>
      </c>
      <c r="C13" s="224"/>
      <c r="D13" s="216" t="str">
        <f>IF(B12="","Vencedor Jogo 3",IF(B12&gt;B14,A12,A14))</f>
        <v>Vencedor Jogo 3</v>
      </c>
      <c r="E13" s="217"/>
      <c r="F13" s="218"/>
      <c r="G13" s="219"/>
      <c r="H13" s="218"/>
      <c r="I13" s="220"/>
      <c r="J13" s="233"/>
      <c r="K13" s="272"/>
      <c r="L13" s="220"/>
      <c r="N13" s="327"/>
      <c r="O13" s="327"/>
      <c r="P13" s="327"/>
      <c r="Q13" s="327"/>
      <c r="R13" s="327"/>
      <c r="S13" s="286"/>
      <c r="T13" s="286"/>
      <c r="U13" s="286"/>
      <c r="W13" s="286"/>
    </row>
    <row r="14" spans="1:26" s="221" customFormat="1" ht="23.25" customHeight="1" x14ac:dyDescent="0.2">
      <c r="A14" s="216" t="str">
        <f>CONFIGURAR!AD9</f>
        <v>D</v>
      </c>
      <c r="B14" s="217"/>
      <c r="C14" s="218"/>
      <c r="D14" s="269"/>
      <c r="E14" s="218"/>
      <c r="F14" s="220"/>
      <c r="G14" s="219"/>
      <c r="H14" s="218"/>
      <c r="I14" s="220"/>
      <c r="J14" s="219"/>
      <c r="K14" s="272"/>
      <c r="L14" s="220"/>
      <c r="M14" s="219"/>
      <c r="N14" s="219"/>
      <c r="O14" s="219"/>
      <c r="P14" s="219"/>
      <c r="R14" s="286"/>
      <c r="S14" s="286"/>
      <c r="T14" s="286"/>
      <c r="U14" s="286"/>
      <c r="W14" s="286"/>
      <c r="Y14" s="273"/>
    </row>
    <row r="15" spans="1:26" s="221" customFormat="1" ht="23.25" customHeight="1" x14ac:dyDescent="0.2">
      <c r="A15" s="228"/>
      <c r="B15" s="229"/>
      <c r="C15" s="229"/>
      <c r="D15" s="222" t="s">
        <v>29</v>
      </c>
      <c r="E15" s="223">
        <f>IF(CONFIGURAR!$D$21=1,CONFIGURAR!AD54,IF(CONFIGURAR!$D$21=2,CONFIGURAR!AE54,IF(CONFIGURAR!$D$21=3,CONFIGURAR!AF54,IF(CONFIGURAR!$D$21=4,CONFIGURAR!AG54,IF(CONFIGURAR!$D$21=5,CONFIGURAR!AH54,IF(CONFIGURAR!$D$21=6,CONFIGURAR!AI54,""))))))</f>
        <v>0.46180555555555541</v>
      </c>
      <c r="F15" s="230"/>
      <c r="G15" s="216" t="str">
        <f>IF(E13="","Vencedor Jogo 14",IF(E13&gt;E17,D13,D17))</f>
        <v>Vencedor Jogo 14</v>
      </c>
      <c r="H15" s="217"/>
      <c r="I15" s="225"/>
      <c r="K15" s="274"/>
      <c r="L15" s="224"/>
      <c r="O15" s="220"/>
      <c r="P15" s="244"/>
      <c r="Q15" s="241"/>
      <c r="R15" s="241"/>
      <c r="S15" s="220"/>
      <c r="Y15" s="273"/>
    </row>
    <row r="16" spans="1:26" s="221" customFormat="1" ht="23.25" customHeight="1" x14ac:dyDescent="0.2">
      <c r="A16" s="216" t="str">
        <f>CONFIGURAR!AD18</f>
        <v>M</v>
      </c>
      <c r="B16" s="217"/>
      <c r="C16" s="218"/>
      <c r="D16" s="269"/>
      <c r="E16" s="218"/>
      <c r="F16" s="220"/>
      <c r="G16" s="219"/>
      <c r="H16" s="218"/>
      <c r="I16" s="220"/>
      <c r="J16" s="219"/>
      <c r="K16" s="272"/>
      <c r="L16" s="220"/>
      <c r="M16" s="219"/>
      <c r="N16" s="219"/>
      <c r="O16" s="220"/>
      <c r="P16" s="330" t="str">
        <f>IF(R34&lt;R37,P37,IF(R34&gt;R37,P34,(IF(Q34="","Vencedor da Final",IF(Q34&gt;Q37,P34,IF(Q34&lt;Q37,"Vencedor Finalíssima",P34))))))</f>
        <v>Vencedor da Final</v>
      </c>
      <c r="Q16" s="330"/>
      <c r="R16" s="330"/>
      <c r="S16" s="220"/>
      <c r="T16" s="220"/>
      <c r="U16" s="235"/>
      <c r="W16" s="236"/>
      <c r="Y16" s="273"/>
    </row>
    <row r="17" spans="1:27" s="221" customFormat="1" ht="23.25" customHeight="1" x14ac:dyDescent="0.2">
      <c r="A17" s="222" t="s">
        <v>2</v>
      </c>
      <c r="B17" s="223">
        <f>IF(CONFIGURAR!$D$21=1,CONFIGURAR!AD44,IF(CONFIGURAR!$D$21=2,CONFIGURAR!AE44,IF(CONFIGURAR!$D$21=3,CONFIGURAR!AF44,IF(CONFIGURAR!$D$21=4,CONFIGURAR!AG44,IF(CONFIGURAR!$D$21=5,CONFIGURAR!AH44,IF(CONFIGURAR!$D$21=6,CONFIGURAR!AI44,""))))))</f>
        <v>0.42708333333333331</v>
      </c>
      <c r="C17" s="224"/>
      <c r="D17" s="216" t="str">
        <f>IF(B16="","Vencedor Jogo 4",IF(B16&gt;B18,A16,A18))</f>
        <v>Vencedor Jogo 4</v>
      </c>
      <c r="E17" s="217"/>
      <c r="F17" s="218"/>
      <c r="G17" s="219"/>
      <c r="H17" s="218"/>
      <c r="I17" s="220"/>
      <c r="J17" s="237"/>
      <c r="K17" s="275"/>
      <c r="L17" s="220"/>
      <c r="O17" s="220"/>
      <c r="P17" s="330"/>
      <c r="Q17" s="330"/>
      <c r="R17" s="330"/>
      <c r="S17" s="238"/>
      <c r="T17" s="238"/>
      <c r="Y17" s="273"/>
    </row>
    <row r="18" spans="1:27" s="221" customFormat="1" ht="23.25" customHeight="1" x14ac:dyDescent="0.2">
      <c r="A18" s="216" t="str">
        <f>CONFIGURAR!AD15</f>
        <v>J</v>
      </c>
      <c r="B18" s="217"/>
      <c r="C18" s="218"/>
      <c r="D18" s="226"/>
      <c r="E18" s="218"/>
      <c r="F18" s="220"/>
      <c r="G18" s="219"/>
      <c r="H18" s="218"/>
      <c r="J18" s="222" t="s">
        <v>37</v>
      </c>
      <c r="K18" s="223">
        <f>IF(CONFIGURAR!$D$21=1,CONFIGURAR!AD66,IF(CONFIGURAR!$D$21=2,CONFIGURAR!AE66,IF(CONFIGURAR!$D$21=3,CONFIGURAR!AF66,IF(CONFIGURAR!$D$21=4,CONFIGURAR!AG66,IF(CONFIGURAR!$D$21=5,CONFIGURAR!AH66,IF(CONFIGURAR!$D$21=6,CONFIGURAR!AI66,""))))))</f>
        <v>0.50347222222222199</v>
      </c>
      <c r="L18" s="220"/>
      <c r="M18" s="226"/>
      <c r="N18" s="218"/>
      <c r="O18" s="220"/>
      <c r="P18" s="244"/>
      <c r="Q18" s="241"/>
      <c r="R18" s="241"/>
      <c r="S18" s="220"/>
      <c r="T18" s="220"/>
      <c r="Y18" s="273"/>
    </row>
    <row r="19" spans="1:27" s="221" customFormat="1" ht="23.25" customHeight="1" x14ac:dyDescent="0.2">
      <c r="A19" s="228"/>
      <c r="B19" s="229"/>
      <c r="C19" s="229"/>
      <c r="D19" s="271"/>
      <c r="E19" s="270"/>
      <c r="F19" s="224"/>
      <c r="H19" s="218"/>
      <c r="J19" s="239"/>
      <c r="K19" s="272"/>
      <c r="L19" s="230"/>
      <c r="M19" s="226"/>
      <c r="N19" s="226"/>
      <c r="O19" s="220"/>
      <c r="P19" s="244"/>
      <c r="Q19" s="241"/>
      <c r="R19" s="241"/>
      <c r="S19" s="225"/>
      <c r="T19" s="225"/>
      <c r="Y19" s="273"/>
    </row>
    <row r="20" spans="1:27" s="221" customFormat="1" ht="23.25" customHeight="1" x14ac:dyDescent="0.2">
      <c r="A20" s="216" t="str">
        <f>CONFIGURAR!AD7</f>
        <v>B</v>
      </c>
      <c r="B20" s="217"/>
      <c r="C20" s="218"/>
      <c r="D20" s="269"/>
      <c r="E20" s="218"/>
      <c r="F20" s="220"/>
      <c r="G20" s="219"/>
      <c r="H20" s="218"/>
      <c r="I20" s="220"/>
      <c r="J20" s="219"/>
      <c r="K20" s="272"/>
      <c r="L20" s="220"/>
      <c r="P20" s="287"/>
      <c r="Q20" s="287"/>
      <c r="R20" s="287"/>
      <c r="Y20" s="273"/>
    </row>
    <row r="21" spans="1:27" s="221" customFormat="1" ht="23.25" customHeight="1" x14ac:dyDescent="0.2">
      <c r="A21" s="222" t="s">
        <v>5</v>
      </c>
      <c r="B21" s="223">
        <f>IF(CONFIGURAR!$D$21=1,CONFIGURAR!AD45,IF(CONFIGURAR!$D$21=2,CONFIGURAR!AE45,IF(CONFIGURAR!$D$21=3,CONFIGURAR!AF45,IF(CONFIGURAR!$D$21=4,CONFIGURAR!AG45,IF(CONFIGURAR!$D$21=5,CONFIGURAR!AH45,IF(CONFIGURAR!$D$21=6,CONFIGURAR!AI45,""))))))</f>
        <v>0.43055555555555552</v>
      </c>
      <c r="C21" s="224"/>
      <c r="D21" s="216" t="str">
        <f>IF(B20="","Vencedor Jogo 5",IF(B20&gt;B22,A20,A22))</f>
        <v>Vencedor Jogo 5</v>
      </c>
      <c r="E21" s="217"/>
      <c r="F21" s="218"/>
      <c r="G21" s="219"/>
      <c r="H21" s="218"/>
      <c r="I21" s="220"/>
      <c r="J21" s="219"/>
      <c r="K21" s="272"/>
      <c r="L21" s="220"/>
      <c r="O21" s="287"/>
      <c r="P21" s="331" t="str">
        <f>IF(R34&lt;R37,P34,IF(R34&gt;R37,P37,IF(Q34="","Derrotado da Final",IF(Q34&lt;Q37,"Derrotado Finalíssima",IF(Q34&lt;Q37,P34,P37)))))</f>
        <v>Derrotado da Final</v>
      </c>
      <c r="Q21" s="331"/>
      <c r="R21" s="331"/>
      <c r="Y21" s="273"/>
    </row>
    <row r="22" spans="1:27" s="221" customFormat="1" ht="23.25" customHeight="1" x14ac:dyDescent="0.2">
      <c r="A22" s="216" t="str">
        <f>CONFIGURAR!AD17</f>
        <v>L</v>
      </c>
      <c r="B22" s="217"/>
      <c r="C22" s="218"/>
      <c r="D22" s="269"/>
      <c r="E22" s="218"/>
      <c r="F22" s="220"/>
      <c r="G22" s="237"/>
      <c r="H22" s="223"/>
      <c r="I22" s="220"/>
      <c r="J22" s="219"/>
      <c r="K22" s="272"/>
      <c r="L22" s="220"/>
      <c r="M22" s="219"/>
      <c r="N22" s="219"/>
      <c r="O22" s="287"/>
      <c r="P22" s="331"/>
      <c r="Q22" s="331"/>
      <c r="R22" s="331"/>
      <c r="S22" s="220"/>
      <c r="T22" s="220"/>
      <c r="U22" s="219"/>
      <c r="W22" s="220"/>
      <c r="Y22" s="273"/>
    </row>
    <row r="23" spans="1:27" s="221" customFormat="1" ht="23.25" customHeight="1" x14ac:dyDescent="0.2">
      <c r="A23" s="228"/>
      <c r="B23" s="229"/>
      <c r="C23" s="229"/>
      <c r="D23" s="222" t="s">
        <v>11</v>
      </c>
      <c r="E23" s="223">
        <f>IF(CONFIGURAR!$D$21=1,CONFIGURAR!AD55,IF(CONFIGURAR!$D$21=2,CONFIGURAR!AE55,IF(CONFIGURAR!$D$21=3,CONFIGURAR!AF55,IF(CONFIGURAR!$D$21=4,CONFIGURAR!AG55,IF(CONFIGURAR!$D$21=5,CONFIGURAR!AH55,IF(CONFIGURAR!$D$21=6,CONFIGURAR!AI55,""))))))</f>
        <v>0.46527777777777762</v>
      </c>
      <c r="F23" s="230"/>
      <c r="G23" s="216" t="str">
        <f>IF(E21="","Vencedor Jogo 15",IF(E21&gt;E25,D21,D25))</f>
        <v>Vencedor Jogo 15</v>
      </c>
      <c r="H23" s="217"/>
      <c r="I23" s="240"/>
      <c r="K23" s="274"/>
      <c r="L23" s="218"/>
      <c r="M23" s="219"/>
      <c r="N23" s="219"/>
      <c r="O23" s="220"/>
      <c r="S23" s="220"/>
      <c r="T23" s="220"/>
      <c r="U23" s="219"/>
      <c r="W23" s="220"/>
      <c r="Y23" s="273"/>
    </row>
    <row r="24" spans="1:27" s="221" customFormat="1" ht="23.25" customHeight="1" x14ac:dyDescent="0.2">
      <c r="A24" s="216" t="str">
        <f>CONFIGURAR!AD11</f>
        <v>F</v>
      </c>
      <c r="B24" s="217"/>
      <c r="C24" s="218"/>
      <c r="D24" s="269"/>
      <c r="E24" s="218"/>
      <c r="F24" s="220"/>
      <c r="G24" s="219"/>
      <c r="H24" s="218"/>
      <c r="I24" s="220"/>
      <c r="J24" s="219"/>
      <c r="K24" s="272"/>
      <c r="L24" s="220"/>
      <c r="M24" s="219"/>
      <c r="N24" s="219"/>
      <c r="O24" s="220"/>
      <c r="P24" s="244"/>
      <c r="Q24" s="241"/>
      <c r="R24" s="241"/>
      <c r="S24" s="220"/>
      <c r="T24" s="220"/>
      <c r="U24" s="219"/>
      <c r="W24" s="220"/>
      <c r="Y24" s="273"/>
      <c r="AA24" s="234"/>
    </row>
    <row r="25" spans="1:27" s="221" customFormat="1" ht="23.25" customHeight="1" x14ac:dyDescent="0.2">
      <c r="A25" s="222" t="s">
        <v>3</v>
      </c>
      <c r="B25" s="223">
        <f>IF(CONFIGURAR!$D$21=1,CONFIGURAR!AD46,IF(CONFIGURAR!$D$21=2,CONFIGURAR!AE46,IF(CONFIGURAR!$D$21=3,CONFIGURAR!AF46,IF(CONFIGURAR!$D$21=4,CONFIGURAR!AG46,IF(CONFIGURAR!$D$21=5,CONFIGURAR!AH46,IF(CONFIGURAR!$D$21=6,CONFIGURAR!AI46,""))))))</f>
        <v>0.43402777777777773</v>
      </c>
      <c r="C25" s="224"/>
      <c r="D25" s="216" t="str">
        <f>IF(B24="","Vencedor Jogo 6",IF(B24&gt;B26,A24,A26))</f>
        <v>Vencedor Jogo 6</v>
      </c>
      <c r="E25" s="217"/>
      <c r="F25" s="218"/>
      <c r="G25" s="219"/>
      <c r="H25" s="218"/>
      <c r="I25" s="220"/>
      <c r="J25" s="219"/>
      <c r="K25" s="272"/>
      <c r="L25" s="220"/>
      <c r="M25" s="219"/>
      <c r="N25" s="219"/>
      <c r="O25" s="220"/>
      <c r="P25" s="329" t="str">
        <f>IF(N40="","Derrotado Jogo 29",IF(N40&lt;N47,M40,M47))</f>
        <v>Derrotado Jogo 29</v>
      </c>
      <c r="Q25" s="329"/>
      <c r="R25" s="329"/>
      <c r="S25" s="220"/>
      <c r="T25" s="220"/>
      <c r="Y25" s="273"/>
      <c r="AA25" s="234"/>
    </row>
    <row r="26" spans="1:27" s="221" customFormat="1" ht="23.25" customHeight="1" x14ac:dyDescent="0.2">
      <c r="A26" s="216" t="str">
        <f>CONFIGURAR!AD14</f>
        <v>I</v>
      </c>
      <c r="B26" s="217"/>
      <c r="C26" s="218"/>
      <c r="D26" s="269"/>
      <c r="E26" s="218"/>
      <c r="F26" s="220"/>
      <c r="G26" s="219"/>
      <c r="H26" s="218"/>
      <c r="I26" s="220"/>
      <c r="J26" s="219"/>
      <c r="K26" s="272"/>
      <c r="L26" s="220"/>
      <c r="M26" s="219"/>
      <c r="N26" s="219"/>
      <c r="O26" s="220"/>
      <c r="P26" s="329"/>
      <c r="Q26" s="329"/>
      <c r="R26" s="329"/>
      <c r="S26" s="220"/>
      <c r="T26" s="220"/>
      <c r="Y26" s="273"/>
      <c r="AA26" s="234"/>
    </row>
    <row r="27" spans="1:27" s="221" customFormat="1" ht="23.25" customHeight="1" x14ac:dyDescent="0.2">
      <c r="A27" s="242"/>
      <c r="B27" s="218"/>
      <c r="C27" s="218"/>
      <c r="D27" s="269"/>
      <c r="E27" s="218"/>
      <c r="F27" s="220"/>
      <c r="G27" s="222" t="s">
        <v>34</v>
      </c>
      <c r="H27" s="223">
        <f>IF(CONFIGURAR!$D$21=1,CONFIGURAR!AD62,IF(CONFIGURAR!$D$21=2,CONFIGURAR!AE62,IF(CONFIGURAR!$D$21=3,CONFIGURAR!AF62,IF(CONFIGURAR!$D$21=4,CONFIGURAR!AG62,IF(CONFIGURAR!$D$21=5,CONFIGURAR!AH62,IF(CONFIGURAR!$D$21=6,CONFIGURAR!AI62,""))))))</f>
        <v>0.48958333333333309</v>
      </c>
      <c r="I27" s="220"/>
      <c r="J27" s="216" t="str">
        <f>IF(H23="","Vencedor Jogo 22",IF(H23&gt;H31,G23,G31))</f>
        <v>Vencedor Jogo 22</v>
      </c>
      <c r="K27" s="217"/>
      <c r="L27" s="220"/>
      <c r="N27" s="219"/>
      <c r="O27" s="220"/>
      <c r="S27" s="220"/>
      <c r="T27" s="220"/>
      <c r="Y27" s="273"/>
      <c r="AA27" s="234"/>
    </row>
    <row r="28" spans="1:27" s="221" customFormat="1" ht="23.25" customHeight="1" x14ac:dyDescent="0.2">
      <c r="A28" s="216" t="str">
        <f>CONFIGURAR!AD19</f>
        <v>N</v>
      </c>
      <c r="B28" s="217"/>
      <c r="C28" s="218"/>
      <c r="D28" s="269"/>
      <c r="E28" s="218"/>
      <c r="F28" s="220"/>
      <c r="G28" s="219"/>
      <c r="H28" s="218"/>
      <c r="I28" s="220"/>
      <c r="J28" s="213"/>
      <c r="K28" s="276"/>
      <c r="L28" s="213"/>
      <c r="N28" s="219"/>
      <c r="O28" s="220"/>
      <c r="S28" s="220"/>
      <c r="T28" s="220"/>
      <c r="Y28" s="273"/>
      <c r="AA28" s="234"/>
    </row>
    <row r="29" spans="1:27" s="221" customFormat="1" ht="23.25" customHeight="1" x14ac:dyDescent="0.2">
      <c r="A29" s="222" t="s">
        <v>9</v>
      </c>
      <c r="B29" s="223">
        <f>IF(CONFIGURAR!$D$21=1,CONFIGURAR!AD47,IF(CONFIGURAR!$D$21=2,CONFIGURAR!AE47,IF(CONFIGURAR!$D$21=3,CONFIGURAR!AF47,IF(CONFIGURAR!$D$21=4,CONFIGURAR!AG47,IF(CONFIGURAR!$D$21=5,CONFIGURAR!AH47,IF(CONFIGURAR!$D$21=6,CONFIGURAR!AI47,""))))))</f>
        <v>0.43749999999999994</v>
      </c>
      <c r="C29" s="224"/>
      <c r="D29" s="216" t="str">
        <f>IF(B28="","Vencedor Jogo 7",IF(B28&gt;B30,A28,A30))</f>
        <v>Vencedor Jogo 7</v>
      </c>
      <c r="E29" s="217"/>
      <c r="F29" s="225"/>
      <c r="G29" s="226"/>
      <c r="H29" s="218"/>
      <c r="I29" s="218"/>
      <c r="J29" s="219"/>
      <c r="K29" s="272"/>
      <c r="L29" s="220"/>
      <c r="M29" s="222"/>
      <c r="N29" s="245"/>
      <c r="O29" s="220"/>
      <c r="S29" s="220"/>
      <c r="T29" s="220"/>
      <c r="Y29" s="273"/>
      <c r="AA29" s="234"/>
    </row>
    <row r="30" spans="1:27" s="221" customFormat="1" ht="23.25" customHeight="1" x14ac:dyDescent="0.2">
      <c r="A30" s="216" t="str">
        <f>CONFIGURAR!AD12</f>
        <v>G</v>
      </c>
      <c r="B30" s="217"/>
      <c r="C30" s="218"/>
      <c r="D30" s="269"/>
      <c r="E30" s="218"/>
      <c r="F30" s="220"/>
      <c r="G30" s="219"/>
      <c r="H30" s="218"/>
      <c r="I30" s="220"/>
      <c r="J30" s="219"/>
      <c r="K30" s="272"/>
      <c r="L30" s="220"/>
      <c r="N30" s="219"/>
      <c r="O30" s="220"/>
      <c r="S30" s="220"/>
      <c r="T30" s="220"/>
      <c r="U30" s="244"/>
      <c r="W30" s="241"/>
      <c r="Y30" s="273"/>
      <c r="AA30" s="234"/>
    </row>
    <row r="31" spans="1:27" s="221" customFormat="1" ht="23.25" customHeight="1" x14ac:dyDescent="0.2">
      <c r="A31" s="228"/>
      <c r="B31" s="229"/>
      <c r="C31" s="229"/>
      <c r="D31" s="222" t="s">
        <v>12</v>
      </c>
      <c r="E31" s="223">
        <f>IF(CONFIGURAR!$D$21=1,CONFIGURAR!AD56,IF(CONFIGURAR!$D$21=2,CONFIGURAR!AE56,IF(CONFIGURAR!$D$21=3,CONFIGURAR!AF56,IF(CONFIGURAR!$D$21=4,CONFIGURAR!AG56,IF(CONFIGURAR!$D$21=5,CONFIGURAR!AH56,IF(CONFIGURAR!$D$21=6,CONFIGURAR!AI56,""))))))</f>
        <v>0.46874999999999983</v>
      </c>
      <c r="F31" s="230"/>
      <c r="G31" s="216" t="str">
        <f>IF(E29="","Vencedor Jogo 16",IF(E29&gt;E33,D29,D33))</f>
        <v>Vencedor Jogo 16</v>
      </c>
      <c r="H31" s="217"/>
      <c r="I31" s="225"/>
      <c r="J31" s="219"/>
      <c r="K31" s="272"/>
      <c r="L31" s="220"/>
      <c r="N31" s="219"/>
      <c r="O31" s="220"/>
      <c r="S31" s="220"/>
      <c r="T31" s="220"/>
      <c r="Y31" s="273"/>
      <c r="AA31" s="234"/>
    </row>
    <row r="32" spans="1:27" s="221" customFormat="1" ht="23.25" customHeight="1" x14ac:dyDescent="0.2">
      <c r="A32" s="216" t="str">
        <f>CONFIGURAR!AD16</f>
        <v>K</v>
      </c>
      <c r="B32" s="217"/>
      <c r="C32" s="218"/>
      <c r="D32" s="269"/>
      <c r="E32" s="218"/>
      <c r="F32" s="220"/>
      <c r="H32" s="270"/>
      <c r="I32" s="224"/>
      <c r="K32" s="274"/>
      <c r="N32" s="219"/>
      <c r="O32" s="220"/>
      <c r="P32" s="244"/>
      <c r="Q32" s="241"/>
      <c r="R32" s="241"/>
      <c r="S32" s="220"/>
      <c r="T32" s="220"/>
      <c r="Y32" s="273"/>
      <c r="AA32" s="234"/>
    </row>
    <row r="33" spans="1:27" s="221" customFormat="1" ht="23.25" customHeight="1" x14ac:dyDescent="0.2">
      <c r="A33" s="222" t="s">
        <v>27</v>
      </c>
      <c r="B33" s="223">
        <f>IF(CONFIGURAR!$D$21=1,CONFIGURAR!AD48,IF(CONFIGURAR!$D$21=2,CONFIGURAR!AE48,IF(CONFIGURAR!$D$21=3,CONFIGURAR!AF48,IF(CONFIGURAR!$D$21=4,CONFIGURAR!AG48,IF(CONFIGURAR!$D$21=5,CONFIGURAR!AH48,IF(CONFIGURAR!$D$21=6,CONFIGURAR!AI48,""))))))</f>
        <v>0.44097222222222215</v>
      </c>
      <c r="C33" s="224"/>
      <c r="D33" s="216" t="str">
        <f>IF(B32="","Vencedor Jogo 8",IF(B32&gt;B34,A32,A34))</f>
        <v>Vencedor Jogo 8</v>
      </c>
      <c r="E33" s="217"/>
      <c r="F33" s="218"/>
      <c r="G33" s="219"/>
      <c r="H33" s="218"/>
      <c r="I33" s="220"/>
      <c r="J33" s="219"/>
      <c r="K33" s="272"/>
      <c r="L33" s="220"/>
      <c r="N33" s="219"/>
      <c r="O33" s="220"/>
      <c r="P33" s="246" t="s">
        <v>31</v>
      </c>
      <c r="Q33" s="218">
        <v>30</v>
      </c>
      <c r="R33" s="247">
        <v>31</v>
      </c>
      <c r="S33" s="220"/>
      <c r="T33" s="220"/>
      <c r="U33" s="244"/>
      <c r="W33" s="288"/>
      <c r="Y33" s="273"/>
      <c r="AA33" s="234"/>
    </row>
    <row r="34" spans="1:27" s="221" customFormat="1" ht="23.25" customHeight="1" x14ac:dyDescent="0.2">
      <c r="A34" s="216" t="str">
        <f>CONFIGURAR!AD20</f>
        <v>O</v>
      </c>
      <c r="B34" s="217"/>
      <c r="C34" s="218"/>
      <c r="D34" s="269"/>
      <c r="E34" s="218"/>
      <c r="F34" s="220"/>
      <c r="G34" s="219"/>
      <c r="H34" s="218"/>
      <c r="I34" s="220"/>
      <c r="J34" s="219"/>
      <c r="K34" s="272"/>
      <c r="L34" s="220"/>
      <c r="N34" s="219"/>
      <c r="O34" s="220"/>
      <c r="P34" s="248" t="str">
        <f>IF(K11="","1º Finalista",IF(K11&gt;K27,J11,J27))</f>
        <v>1º Finalista</v>
      </c>
      <c r="Q34" s="217"/>
      <c r="R34" s="249"/>
      <c r="S34" s="220"/>
      <c r="U34" s="221" t="s">
        <v>90</v>
      </c>
      <c r="Y34" s="273"/>
      <c r="AA34" s="234"/>
    </row>
    <row r="35" spans="1:27" s="221" customFormat="1" ht="23.25" customHeight="1" x14ac:dyDescent="0.2">
      <c r="C35" s="218"/>
      <c r="D35" s="219"/>
      <c r="E35" s="220"/>
      <c r="F35" s="220"/>
      <c r="G35" s="219"/>
      <c r="H35" s="220"/>
      <c r="I35" s="220"/>
      <c r="J35" s="219"/>
      <c r="K35" s="220"/>
      <c r="L35" s="220"/>
      <c r="M35" s="219"/>
      <c r="N35" s="219"/>
      <c r="O35" s="220"/>
      <c r="P35" s="323" t="s">
        <v>30</v>
      </c>
      <c r="Q35" s="324">
        <f>N43+CONFIGURAR!$D$19+CONFIGURAR!$D$20</f>
        <v>0.51736111111111083</v>
      </c>
      <c r="R35" s="324"/>
      <c r="S35" s="220"/>
      <c r="Y35" s="273"/>
      <c r="AA35" s="234"/>
    </row>
    <row r="36" spans="1:27" s="221" customFormat="1" ht="23.25" customHeight="1" x14ac:dyDescent="0.2">
      <c r="A36" s="242"/>
      <c r="B36" s="218"/>
      <c r="C36" s="218"/>
      <c r="D36" s="254" t="str">
        <f>IF(E5="","Derrotado Jogo 13",(IF(E5&gt;E9,D9,D5)))</f>
        <v>Derrotado Jogo 13</v>
      </c>
      <c r="E36" s="252"/>
      <c r="F36" s="220"/>
      <c r="G36" s="219"/>
      <c r="H36" s="220"/>
      <c r="I36" s="220"/>
      <c r="J36" s="219"/>
      <c r="K36" s="220"/>
      <c r="L36" s="220"/>
      <c r="M36" s="219"/>
      <c r="N36" s="219"/>
      <c r="O36" s="220"/>
      <c r="P36" s="323"/>
      <c r="Q36" s="324"/>
      <c r="R36" s="324"/>
      <c r="S36" s="220"/>
      <c r="X36" s="284"/>
      <c r="Y36" s="273"/>
      <c r="AA36" s="234"/>
    </row>
    <row r="37" spans="1:27" s="221" customFormat="1" ht="23.25" customHeight="1" x14ac:dyDescent="0.2">
      <c r="A37" s="254" t="str">
        <f>IF(B4="","Derrotado do jogo 1",(IF(B4&gt;B6,A6,A4)))</f>
        <v>Derrotado do jogo 1</v>
      </c>
      <c r="B37" s="252"/>
      <c r="C37" s="247"/>
      <c r="D37" s="222" t="s">
        <v>33</v>
      </c>
      <c r="E37" s="223">
        <f>IF(CONFIGURAR!$D$21=1,CONFIGURAR!AD57,IF(CONFIGURAR!$D$21=2,CONFIGURAR!AE57,IF(CONFIGURAR!$D$21=3,CONFIGURAR!AF57,IF(CONFIGURAR!$D$21=4,CONFIGURAR!AG57,IF(CONFIGURAR!$D$21=5,CONFIGURAR!AH57,IF(CONFIGURAR!$D$21=6,CONFIGURAR!AI57,""))))))</f>
        <v>0.47222222222222204</v>
      </c>
      <c r="F37" s="220"/>
      <c r="G37" s="254" t="str">
        <f>IF(E36="","Vencedor Jogo 17",IF(E36&gt;E38,D36,D38))</f>
        <v>Vencedor Jogo 17</v>
      </c>
      <c r="H37" s="252"/>
      <c r="I37" s="220"/>
      <c r="L37" s="220"/>
      <c r="M37" s="219"/>
      <c r="N37" s="219"/>
      <c r="P37" s="251" t="str">
        <f>IF(N40="","2º Finalista",IF(N40&gt;N47,M40,M47))</f>
        <v>2º Finalista</v>
      </c>
      <c r="Q37" s="252"/>
      <c r="R37" s="253"/>
      <c r="S37" s="220"/>
      <c r="X37" s="284"/>
      <c r="Y37" s="273"/>
      <c r="AA37" s="234"/>
    </row>
    <row r="38" spans="1:27" s="221" customFormat="1" ht="23.25" customHeight="1" x14ac:dyDescent="0.2">
      <c r="A38" s="222" t="s">
        <v>28</v>
      </c>
      <c r="B38" s="223">
        <f>IF(CONFIGURAR!$D$21=1,CONFIGURAR!AD49,IF(CONFIGURAR!$D$21=2,CONFIGURAR!AE49,IF(CONFIGURAR!$D$21=3,CONFIGURAR!AF49,IF(CONFIGURAR!$D$21=4,CONFIGURAR!AG49,IF(CONFIGURAR!$D$21=5,CONFIGURAR!AH49,IF(CONFIGURAR!$D$21=6,CONFIGURAR!AI49,""))))))</f>
        <v>0.44444444444444436</v>
      </c>
      <c r="C38" s="255"/>
      <c r="D38" s="254" t="str">
        <f>IF(B37="","Vencedor Jogo 9",IF(B37&gt;B39,A37,A39))</f>
        <v>Vencedor Jogo 9</v>
      </c>
      <c r="E38" s="252"/>
      <c r="F38" s="220"/>
      <c r="G38" s="219"/>
      <c r="H38" s="220"/>
      <c r="I38" s="220"/>
      <c r="L38" s="220"/>
      <c r="O38" s="289"/>
      <c r="S38" s="220"/>
      <c r="X38" s="234"/>
      <c r="Y38" s="273"/>
      <c r="AA38" s="234"/>
    </row>
    <row r="39" spans="1:27" s="221" customFormat="1" ht="23.25" customHeight="1" x14ac:dyDescent="0.2">
      <c r="A39" s="254" t="str">
        <f>IF(B8="","Derrotado do jogo 2",IF(B8&gt;B10,A10,A8))</f>
        <v>Derrotado do jogo 2</v>
      </c>
      <c r="B39" s="252"/>
      <c r="C39" s="247"/>
      <c r="D39" s="219"/>
      <c r="E39" s="220"/>
      <c r="F39" s="220"/>
      <c r="G39" s="222" t="s">
        <v>17</v>
      </c>
      <c r="H39" s="223">
        <f>IF(CONFIGURAR!$D$21=1,CONFIGURAR!AD63,IF(CONFIGURAR!$D$21=2,CONFIGURAR!AE63,IF(CONFIGURAR!$D$21=3,CONFIGURAR!AF63,IF(CONFIGURAR!$D$21=4,CONFIGURAR!AG63,IF(CONFIGURAR!$D$21=5,CONFIGURAR!AH63,IF(CONFIGURAR!$D$21=6,CONFIGURAR!AI63,""))))))</f>
        <v>0.4930555555555553</v>
      </c>
      <c r="I39" s="220"/>
      <c r="J39" s="254" t="str">
        <f>IF(H37="","Vencedor Jogo 23",IF(H37&gt;H41,G37,G41))</f>
        <v>Vencedor Jogo 23</v>
      </c>
      <c r="K39" s="252"/>
      <c r="L39" s="220"/>
      <c r="O39" s="220"/>
      <c r="P39" s="244"/>
      <c r="Q39" s="241"/>
      <c r="R39" s="241"/>
      <c r="S39" s="219"/>
      <c r="X39" s="234"/>
      <c r="Y39" s="273"/>
      <c r="AA39" s="234"/>
    </row>
    <row r="40" spans="1:27" s="221" customFormat="1" ht="23.25" customHeight="1" x14ac:dyDescent="0.2">
      <c r="A40" s="228"/>
      <c r="B40" s="229"/>
      <c r="C40" s="229"/>
      <c r="D40" s="254" t="str">
        <f>IF(E13="","Derrotado Jogo 14",IF(E13&gt;E17,D17,D13))</f>
        <v>Derrotado Jogo 14</v>
      </c>
      <c r="E40" s="252"/>
      <c r="F40" s="220"/>
      <c r="G40" s="219"/>
      <c r="H40" s="220"/>
      <c r="I40" s="220"/>
      <c r="J40" s="222" t="s">
        <v>38</v>
      </c>
      <c r="K40" s="223">
        <f>IF(CONFIGURAR!$D$21=1,CONFIGURAR!AD67,IF(CONFIGURAR!$D$21=2,CONFIGURAR!AE67,IF(CONFIGURAR!$D$21=3,CONFIGURAR!AF67,IF(CONFIGURAR!$D$21=4,CONFIGURAR!AG67+CONFIGURAR!$D$19+CONFIGURAR!$D$20,IF(CONFIGURAR!$D$21=5,CONFIGURAR!AH67,IF(CONFIGURAR!$D$21=6,CONFIGURAR!AI67,""))))))</f>
        <v>0.5069444444444442</v>
      </c>
      <c r="L40" s="220"/>
      <c r="M40" s="254" t="str">
        <f>IF(K39="","Vencedor Jogo 27",IF(K39&gt;K42,J39,J42))</f>
        <v>Vencedor Jogo 27</v>
      </c>
      <c r="N40" s="252"/>
      <c r="O40" s="220"/>
      <c r="P40" s="244"/>
      <c r="Q40" s="241"/>
      <c r="R40" s="241"/>
      <c r="S40" s="219"/>
      <c r="X40" s="234"/>
      <c r="Y40" s="273"/>
      <c r="AA40" s="234"/>
    </row>
    <row r="41" spans="1:27" s="221" customFormat="1" ht="23.25" customHeight="1" x14ac:dyDescent="0.2">
      <c r="A41" s="254" t="str">
        <f>IF(B12="","Derrotado do jogo 3",IF(B12&gt;B14,A14,A12))</f>
        <v>Derrotado do jogo 3</v>
      </c>
      <c r="B41" s="252"/>
      <c r="C41" s="247"/>
      <c r="D41" s="222" t="s">
        <v>13</v>
      </c>
      <c r="E41" s="223">
        <f>IF(CONFIGURAR!$D$21=1,CONFIGURAR!AD58,IF(CONFIGURAR!$D$21=2,CONFIGURAR!AE58,IF(CONFIGURAR!$D$21=3,CONFIGURAR!AF58,IF(CONFIGURAR!$D$21=4,CONFIGURAR!AG58,IF(CONFIGURAR!$D$21=5,CONFIGURAR!AH58,IF(CONFIGURAR!$D$21=6,CONFIGURAR!AI58,""))))))</f>
        <v>0.47569444444444425</v>
      </c>
      <c r="F41" s="220"/>
      <c r="G41" s="254" t="str">
        <f>IF(E40="","Vencedor Jogo 18",IF(E40&gt;E42,D40,D42))</f>
        <v>Vencedor Jogo 18</v>
      </c>
      <c r="H41" s="252"/>
      <c r="I41" s="220"/>
      <c r="J41" s="219"/>
      <c r="L41" s="220"/>
      <c r="M41" s="219"/>
      <c r="N41" s="219"/>
      <c r="O41" s="220"/>
      <c r="P41" s="244"/>
      <c r="Q41" s="241"/>
      <c r="R41" s="241"/>
      <c r="X41" s="234"/>
      <c r="Y41" s="273"/>
      <c r="AA41" s="234"/>
    </row>
    <row r="42" spans="1:27" s="221" customFormat="1" ht="23.25" customHeight="1" x14ac:dyDescent="0.2">
      <c r="A42" s="222" t="s">
        <v>58</v>
      </c>
      <c r="B42" s="223">
        <f>IF(CONFIGURAR!$D$21=1,CONFIGURAR!AD50,IF(CONFIGURAR!$D$21=2,CONFIGURAR!AE50,IF(CONFIGURAR!$D$21=3,CONFIGURAR!AF50,IF(CONFIGURAR!$D$21=4,CONFIGURAR!AG50,IF(CONFIGURAR!$D$21=5,CONFIGURAR!AH50,IF(CONFIGURAR!$D$21=6,CONFIGURAR!AI50,""))))))</f>
        <v>0.44791666666666657</v>
      </c>
      <c r="C42" s="255"/>
      <c r="D42" s="254" t="str">
        <f>IF(B41="","Vencedor Jogo 10",IF(B41&gt;B43,A41,A43))</f>
        <v>Vencedor Jogo 10</v>
      </c>
      <c r="E42" s="252"/>
      <c r="F42" s="220"/>
      <c r="G42" s="219"/>
      <c r="H42" s="247"/>
      <c r="I42" s="220"/>
      <c r="J42" s="254" t="str">
        <f>IF(H43="","Vencedor Jogo 24",IF(H43&gt;H45,G43,G45))</f>
        <v>Vencedor Jogo 24</v>
      </c>
      <c r="K42" s="252"/>
      <c r="L42" s="220"/>
      <c r="M42" s="219"/>
      <c r="N42" s="219"/>
      <c r="O42" s="220"/>
      <c r="P42" s="244"/>
      <c r="Q42" s="241"/>
      <c r="R42" s="241"/>
      <c r="S42" s="220"/>
      <c r="X42" s="234"/>
      <c r="Y42" s="273"/>
      <c r="AA42" s="234"/>
    </row>
    <row r="43" spans="1:27" s="221" customFormat="1" ht="23.25" customHeight="1" x14ac:dyDescent="0.2">
      <c r="A43" s="254" t="str">
        <f>IF(B16="","Derrotado do jogo 4",IF(B16&gt;B18,A18,A16))</f>
        <v>Derrotado do jogo 4</v>
      </c>
      <c r="B43" s="252"/>
      <c r="C43" s="247"/>
      <c r="D43" s="219"/>
      <c r="E43" s="220"/>
      <c r="F43" s="220"/>
      <c r="G43" s="254" t="str">
        <f>IF(H7="","Derrotado Jogo 21",IF(H7&gt;H15,G15,G7))</f>
        <v>Derrotado Jogo 21</v>
      </c>
      <c r="H43" s="252"/>
      <c r="I43" s="220"/>
      <c r="L43" s="220"/>
      <c r="M43" s="222" t="s">
        <v>40</v>
      </c>
      <c r="N43" s="223">
        <f>IF(CONFIGURAR!$D$21=1,CONFIGURAR!AD69,IF(CONFIGURAR!$D$21=2,CONFIGURAR!AE69,IF(CONFIGURAR!$D$21=3,CONFIGURAR!AF69+CONFIGURAR!$D$19+CONFIGURAR!$D$20,IF(CONFIGURAR!$D$21=4,K46+CONFIGURAR!$D$19+CONFIGURAR!$D$20,IF(CONFIGURAR!$D$21=5,CONFIGURAR!AH69,IF(CONFIGURAR!$D$21=6,CONFIGURAR!AI69,""))))))</f>
        <v>0.51388888888888862</v>
      </c>
      <c r="P43" s="244"/>
      <c r="Q43" s="241"/>
      <c r="R43" s="241"/>
      <c r="S43" s="220"/>
      <c r="X43" s="234"/>
      <c r="Y43" s="273"/>
      <c r="AA43" s="234"/>
    </row>
    <row r="44" spans="1:27" s="221" customFormat="1" ht="23.25" customHeight="1" x14ac:dyDescent="0.2">
      <c r="A44" s="228"/>
      <c r="B44" s="229"/>
      <c r="C44" s="229"/>
      <c r="D44" s="254" t="str">
        <f>IF(E21="","Derrotado Jogo 15",IF(E21&gt;E25,D25,D21))</f>
        <v>Derrotado Jogo 15</v>
      </c>
      <c r="E44" s="252"/>
      <c r="F44" s="220"/>
      <c r="G44" s="222" t="s">
        <v>35</v>
      </c>
      <c r="H44" s="223">
        <f>IF(CONFIGURAR!$D$21=1,CONFIGURAR!AD64,IF(CONFIGURAR!$D$21=2,CONFIGURAR!AE64,IF(CONFIGURAR!$D$21=3,CONFIGURAR!AF64,IF(CONFIGURAR!$D$21=4,CONFIGURAR!AG64+CONFIGURAR!$D$19+CONFIGURAR!$D$20,IF(CONFIGURAR!$D$21=5,CONFIGURAR!AH64,IF(CONFIGURAR!$D$21=6,CONFIGURAR!AI64,""))))))</f>
        <v>0.49652777777777751</v>
      </c>
      <c r="I44" s="220"/>
      <c r="L44" s="220"/>
      <c r="M44" s="219"/>
      <c r="N44" s="219"/>
      <c r="O44" s="220"/>
      <c r="Q44" s="278"/>
      <c r="S44" s="220"/>
      <c r="X44" s="234"/>
      <c r="Y44" s="273"/>
      <c r="AA44" s="234"/>
    </row>
    <row r="45" spans="1:27" s="221" customFormat="1" ht="23.25" customHeight="1" x14ac:dyDescent="0.2">
      <c r="A45" s="254" t="str">
        <f>IF(B20="","Derrotado do jogo 5",IF(B20&gt;B22,A22,A20))</f>
        <v>Derrotado do jogo 5</v>
      </c>
      <c r="B45" s="252"/>
      <c r="C45" s="247"/>
      <c r="D45" s="222" t="s">
        <v>14</v>
      </c>
      <c r="E45" s="223">
        <f>IF(CONFIGURAR!$D$21=1,CONFIGURAR!AD59,IF(CONFIGURAR!$D$21=2,CONFIGURAR!AE59,IF(CONFIGURAR!$D$21=3,CONFIGURAR!AF59,IF(CONFIGURAR!$D$21=4,CONFIGURAR!AG59,IF(CONFIGURAR!$D$21=5,CONFIGURAR!AH59,IF(CONFIGURAR!$D$21=6,CONFIGURAR!AI59,""))))))</f>
        <v>0.47916666666666646</v>
      </c>
      <c r="F45" s="220"/>
      <c r="G45" s="254" t="str">
        <f>IF(E44="","Vencedor Jogo 19",IF(E44&gt;E46,D44,D46))</f>
        <v>Vencedor Jogo 19</v>
      </c>
      <c r="H45" s="252"/>
      <c r="I45" s="220"/>
      <c r="J45" s="254" t="str">
        <f>IF(K11="","Derrotado Jogo 26",IF(K11&gt;K27,J27,J11))</f>
        <v>Derrotado Jogo 26</v>
      </c>
      <c r="K45" s="252"/>
      <c r="L45" s="220"/>
      <c r="O45" s="225"/>
      <c r="S45" s="220"/>
      <c r="X45" s="234"/>
      <c r="Y45" s="273"/>
      <c r="AA45" s="234"/>
    </row>
    <row r="46" spans="1:27" s="221" customFormat="1" ht="23.25" customHeight="1" x14ac:dyDescent="0.2">
      <c r="A46" s="222" t="s">
        <v>59</v>
      </c>
      <c r="B46" s="223">
        <f>IF(CONFIGURAR!$D$21=1,CONFIGURAR!AD51,IF(CONFIGURAR!$D$21=2,CONFIGURAR!AE51,IF(CONFIGURAR!$D$21=3,CONFIGURAR!AF51,IF(CONFIGURAR!$D$21=4,CONFIGURAR!AG51,IF(CONFIGURAR!$D$21=5,CONFIGURAR!AH51,IF(CONFIGURAR!$D$21=6,CONFIGURAR!AI51,""))))))</f>
        <v>0.45138888888888878</v>
      </c>
      <c r="C46" s="255"/>
      <c r="D46" s="254" t="str">
        <f>IF(B45="","Vencedor Jogo 11",IF(B45&gt;B47,A45,A47))</f>
        <v>Vencedor Jogo 11</v>
      </c>
      <c r="E46" s="252"/>
      <c r="F46" s="220"/>
      <c r="G46" s="219"/>
      <c r="H46" s="247"/>
      <c r="I46" s="220"/>
      <c r="J46" s="222" t="s">
        <v>39</v>
      </c>
      <c r="K46" s="223">
        <f>IF(CONFIGURAR!$D$21=1,CONFIGURAR!AD68,IF(CONFIGURAR!$D$21=2,CONFIGURAR!AE68,IF(CONFIGURAR!$D$21=3,CONFIGURAR!AF68,IF(CONFIGURAR!$D$21=4,CONFIGURAR!AG68+CONFIGURAR!$D$19+CONFIGURAR!$D$20,IF(CONFIGURAR!$D$21=5,CONFIGURAR!AH68,IF(CONFIGURAR!$D$21=6,CONFIGURAR!AI68,""))))))</f>
        <v>0.51041666666666641</v>
      </c>
      <c r="L46" s="220"/>
      <c r="M46" s="219"/>
      <c r="N46" s="219"/>
      <c r="S46" s="220"/>
      <c r="X46" s="234"/>
      <c r="Y46" s="273"/>
      <c r="AA46" s="234"/>
    </row>
    <row r="47" spans="1:27" s="221" customFormat="1" ht="23.25" customHeight="1" x14ac:dyDescent="0.2">
      <c r="A47" s="254" t="str">
        <f>IF(B24="","Derrotado do jogo 6",IF(B24&gt;B26,A26,A24))</f>
        <v>Derrotado do jogo 6</v>
      </c>
      <c r="B47" s="252"/>
      <c r="C47" s="247"/>
      <c r="F47" s="224"/>
      <c r="G47" s="254" t="str">
        <f>IF(H23="","Derrotado Jogo 22",IF(H23&gt;H31,G31,G23))</f>
        <v>Derrotado Jogo 22</v>
      </c>
      <c r="H47" s="252"/>
      <c r="I47" s="218"/>
      <c r="J47" s="256"/>
      <c r="K47" s="277"/>
      <c r="L47" s="256"/>
      <c r="M47" s="254" t="str">
        <f>IF(K45="","Vencedor Jogo 28",IF(K45&gt;K48,J45,J48))</f>
        <v>Vencedor Jogo 28</v>
      </c>
      <c r="N47" s="252"/>
      <c r="S47" s="220"/>
      <c r="Y47" s="273"/>
      <c r="AA47" s="234"/>
    </row>
    <row r="48" spans="1:27" s="221" customFormat="1" ht="23.25" customHeight="1" x14ac:dyDescent="0.2">
      <c r="A48" s="228"/>
      <c r="B48" s="229"/>
      <c r="C48" s="229"/>
      <c r="D48" s="254" t="str">
        <f>IF(E29="","Derrotado Jogo 16",IF(E29&gt;E33,D33,D29))</f>
        <v>Derrotado Jogo 16</v>
      </c>
      <c r="E48" s="252"/>
      <c r="F48" s="255"/>
      <c r="G48" s="222" t="s">
        <v>36</v>
      </c>
      <c r="H48" s="223">
        <f>IF(CONFIGURAR!$D$21=1,CONFIGURAR!AD65,IF(CONFIGURAR!$D$21=2,CONFIGURAR!AE65,IF(CONFIGURAR!$D$21=3,CONFIGURAR!AF65,IF(CONFIGURAR!$D$21=4,CONFIGURAR!AG65,IF(CONFIGURAR!$D$21=5,CONFIGURAR!AH65,IF(CONFIGURAR!$D$21=6,CONFIGURAR!AI65,""))))))</f>
        <v>0.49999999999999972</v>
      </c>
      <c r="I48" s="225"/>
      <c r="J48" s="254" t="str">
        <f>IF(H47="","Vencedor Jogo 25",IF(H47&gt;H49,G47,G49))</f>
        <v>Vencedor Jogo 25</v>
      </c>
      <c r="K48" s="252"/>
      <c r="L48" s="247"/>
      <c r="S48" s="220"/>
      <c r="X48" s="234"/>
      <c r="Y48" s="273"/>
      <c r="AA48" s="234"/>
    </row>
    <row r="49" spans="1:27" s="221" customFormat="1" ht="23.25" customHeight="1" x14ac:dyDescent="0.2">
      <c r="A49" s="254" t="str">
        <f>IF(B28="","Derrotado do jogo 7",(IF(B28&gt;B30,A30,A28)))</f>
        <v>Derrotado do jogo 7</v>
      </c>
      <c r="B49" s="252"/>
      <c r="C49" s="247"/>
      <c r="D49" s="222" t="s">
        <v>15</v>
      </c>
      <c r="E49" s="223">
        <f>IF(CONFIGURAR!$D$21=1,CONFIGURAR!AD60,IF(CONFIGURAR!$D$21=2,CONFIGURAR!AE60,IF(CONFIGURAR!$D$21=3,CONFIGURAR!AF60,IF(CONFIGURAR!$D$21=4,CONFIGURAR!AG60,IF(CONFIGURAR!$D$21=5,CONFIGURAR!AH60,IF(CONFIGURAR!$D$21=6,CONFIGURAR!AI60,""))))))</f>
        <v>0.48263888888888867</v>
      </c>
      <c r="F49" s="257"/>
      <c r="G49" s="254" t="str">
        <f>IF(E48="","Vencedor Jogo 20",IF(E48&gt;E50,D48,D50))</f>
        <v>Vencedor Jogo 20</v>
      </c>
      <c r="H49" s="252"/>
      <c r="I49" s="220"/>
      <c r="J49" s="239"/>
      <c r="K49" s="247"/>
      <c r="L49" s="230"/>
      <c r="M49" s="260"/>
      <c r="N49" s="260"/>
      <c r="S49" s="220"/>
      <c r="Y49" s="273"/>
      <c r="AA49" s="234"/>
    </row>
    <row r="50" spans="1:27" s="221" customFormat="1" ht="23.25" customHeight="1" x14ac:dyDescent="0.2">
      <c r="A50" s="222" t="s">
        <v>60</v>
      </c>
      <c r="B50" s="223">
        <f>IF(CONFIGURAR!$D$21=1,CONFIGURAR!AD52,IF(CONFIGURAR!$D$21=2,CONFIGURAR!AE52,IF(CONFIGURAR!$D$21=3,CONFIGURAR!AF52,IF(CONFIGURAR!$D$21=4,CONFIGURAR!AG52,IF(CONFIGURAR!$D$21=5,CONFIGURAR!AH52,IF(CONFIGURAR!$D$21=6,CONFIGURAR!AI52,""))))))</f>
        <v>0.45486111111111099</v>
      </c>
      <c r="C50" s="255"/>
      <c r="D50" s="254" t="str">
        <f>IF(B49="","Vencedor Jogo 12",IF(B49&gt;B51,A49,A51))</f>
        <v>Vencedor Jogo 12</v>
      </c>
      <c r="E50" s="252"/>
      <c r="F50" s="247"/>
      <c r="G50" s="219"/>
      <c r="H50" s="247"/>
      <c r="I50" s="220"/>
      <c r="L50" s="220"/>
      <c r="S50" s="220"/>
      <c r="W50" s="290"/>
      <c r="X50" s="290"/>
      <c r="Y50" s="290"/>
      <c r="AA50" s="234"/>
    </row>
    <row r="51" spans="1:27" s="221" customFormat="1" ht="23.25" customHeight="1" x14ac:dyDescent="0.2">
      <c r="A51" s="254" t="str">
        <f>IF(B32="","Derrotado do jogo 8",IF(B32&gt;B34,A34,A32))</f>
        <v>Derrotado do jogo 8</v>
      </c>
      <c r="B51" s="252"/>
      <c r="C51" s="247"/>
      <c r="D51" s="219"/>
      <c r="E51" s="220"/>
      <c r="F51" s="220"/>
      <c r="I51" s="220"/>
      <c r="K51" s="279"/>
      <c r="L51" s="220"/>
      <c r="M51" s="233"/>
      <c r="N51" s="233"/>
      <c r="O51" s="233"/>
      <c r="R51" s="219"/>
      <c r="S51" s="220"/>
      <c r="V51" s="290"/>
      <c r="W51" s="290"/>
      <c r="X51" s="290"/>
      <c r="Y51" s="290"/>
      <c r="AA51" s="234"/>
    </row>
    <row r="52" spans="1:27" s="221" customFormat="1" ht="23.25" customHeight="1" x14ac:dyDescent="0.2">
      <c r="A52" s="228"/>
      <c r="B52" s="229"/>
      <c r="C52" s="229"/>
      <c r="D52" s="259"/>
      <c r="E52" s="247"/>
      <c r="F52" s="220"/>
      <c r="G52" s="222"/>
      <c r="H52" s="223"/>
      <c r="I52" s="230"/>
      <c r="L52" s="258"/>
      <c r="O52" s="259"/>
      <c r="R52" s="219"/>
      <c r="S52" s="220"/>
      <c r="X52" s="234"/>
      <c r="Y52" s="273"/>
      <c r="AA52" s="234"/>
    </row>
    <row r="53" spans="1:27" s="221" customFormat="1" ht="23.25" customHeight="1" x14ac:dyDescent="0.2">
      <c r="A53" s="264" t="s">
        <v>18</v>
      </c>
      <c r="B53" s="264"/>
      <c r="C53" s="264"/>
      <c r="D53" s="264" t="s">
        <v>19</v>
      </c>
      <c r="E53" s="264"/>
      <c r="F53" s="264"/>
      <c r="G53" s="264" t="s">
        <v>20</v>
      </c>
      <c r="H53" s="264"/>
      <c r="I53" s="264"/>
      <c r="J53" s="264" t="s">
        <v>21</v>
      </c>
      <c r="K53" s="264"/>
      <c r="L53" s="264"/>
      <c r="M53" s="264" t="s">
        <v>22</v>
      </c>
      <c r="N53" s="264"/>
      <c r="O53" s="264"/>
      <c r="P53" s="264" t="s">
        <v>23</v>
      </c>
      <c r="Q53" s="264"/>
      <c r="R53" s="219"/>
      <c r="S53" s="220"/>
      <c r="X53" s="234"/>
      <c r="Y53" s="273"/>
      <c r="AA53" s="234"/>
    </row>
    <row r="54" spans="1:27" s="221" customFormat="1" ht="23.25" customHeight="1" x14ac:dyDescent="0.2">
      <c r="A54" s="208"/>
      <c r="B54" s="209"/>
      <c r="C54" s="209"/>
      <c r="D54" s="210"/>
      <c r="E54" s="211"/>
      <c r="F54" s="211"/>
      <c r="G54" s="210"/>
      <c r="H54" s="211"/>
      <c r="I54" s="211"/>
      <c r="J54" s="210"/>
      <c r="K54" s="211"/>
      <c r="L54" s="211"/>
      <c r="M54" s="210"/>
      <c r="N54" s="210"/>
      <c r="O54" s="210"/>
      <c r="P54" s="210"/>
      <c r="Q54" s="210"/>
      <c r="R54" s="219"/>
      <c r="S54" s="220"/>
      <c r="X54" s="234"/>
      <c r="Y54" s="273"/>
      <c r="Z54" s="245"/>
      <c r="AA54" s="234"/>
    </row>
    <row r="55" spans="1:27" s="221" customFormat="1" ht="23.25" customHeight="1" x14ac:dyDescent="0.2">
      <c r="S55" s="220"/>
      <c r="X55" s="234"/>
      <c r="Y55" s="273"/>
      <c r="Z55" s="245"/>
      <c r="AA55" s="234"/>
    </row>
    <row r="56" spans="1:27" x14ac:dyDescent="0.2">
      <c r="Y56" s="273"/>
      <c r="Z56" s="245"/>
    </row>
    <row r="57" spans="1:27" x14ac:dyDescent="0.2">
      <c r="Y57" s="273"/>
      <c r="Z57" s="245"/>
    </row>
    <row r="58" spans="1:27" x14ac:dyDescent="0.2">
      <c r="Y58" s="273"/>
      <c r="Z58" s="245"/>
    </row>
    <row r="59" spans="1:27" x14ac:dyDescent="0.2">
      <c r="Y59" s="273"/>
      <c r="Z59" s="245"/>
    </row>
    <row r="60" spans="1:27" x14ac:dyDescent="0.2">
      <c r="Y60" s="273"/>
      <c r="Z60" s="245"/>
    </row>
    <row r="61" spans="1:27" x14ac:dyDescent="0.2">
      <c r="Y61" s="273"/>
      <c r="Z61" s="245"/>
    </row>
    <row r="62" spans="1:27" x14ac:dyDescent="0.2">
      <c r="Y62" s="273"/>
      <c r="Z62" s="245"/>
    </row>
    <row r="63" spans="1:27" x14ac:dyDescent="0.2">
      <c r="Y63" s="273"/>
      <c r="Z63" s="245"/>
    </row>
    <row r="64" spans="1:27" x14ac:dyDescent="0.2">
      <c r="Y64" s="273"/>
      <c r="Z64" s="245"/>
    </row>
    <row r="65" spans="25:26" x14ac:dyDescent="0.2">
      <c r="Y65" s="273"/>
      <c r="Z65" s="245"/>
    </row>
    <row r="66" spans="25:26" x14ac:dyDescent="0.2">
      <c r="Y66" s="273"/>
      <c r="Z66" s="245"/>
    </row>
    <row r="67" spans="25:26" x14ac:dyDescent="0.2">
      <c r="Y67" s="273"/>
      <c r="Z67" s="245"/>
    </row>
    <row r="68" spans="25:26" x14ac:dyDescent="0.2">
      <c r="Y68" s="273"/>
      <c r="Z68" s="245"/>
    </row>
    <row r="69" spans="25:26" x14ac:dyDescent="0.2">
      <c r="Y69" s="273"/>
      <c r="Z69" s="245"/>
    </row>
    <row r="70" spans="25:26" x14ac:dyDescent="0.2">
      <c r="Y70" s="273"/>
      <c r="Z70" s="245"/>
    </row>
    <row r="71" spans="25:26" x14ac:dyDescent="0.2">
      <c r="Y71" s="273"/>
      <c r="Z71" s="245"/>
    </row>
    <row r="72" spans="25:26" x14ac:dyDescent="0.2">
      <c r="Y72" s="273"/>
      <c r="Z72" s="245"/>
    </row>
    <row r="73" spans="25:26" x14ac:dyDescent="0.2">
      <c r="Y73" s="273"/>
      <c r="Z73" s="245"/>
    </row>
    <row r="74" spans="25:26" x14ac:dyDescent="0.2">
      <c r="Y74" s="273"/>
      <c r="Z74" s="245"/>
    </row>
    <row r="75" spans="25:26" x14ac:dyDescent="0.2">
      <c r="Y75" s="273"/>
      <c r="Z75" s="245"/>
    </row>
    <row r="76" spans="25:26" x14ac:dyDescent="0.2">
      <c r="Y76" s="273"/>
      <c r="Z76" s="245"/>
    </row>
    <row r="77" spans="25:26" x14ac:dyDescent="0.2">
      <c r="Y77" s="273"/>
      <c r="Z77" s="245"/>
    </row>
    <row r="78" spans="25:26" x14ac:dyDescent="0.2">
      <c r="Y78" s="273"/>
      <c r="Z78" s="245"/>
    </row>
    <row r="79" spans="25:26" x14ac:dyDescent="0.2">
      <c r="Y79" s="273"/>
      <c r="Z79" s="245"/>
    </row>
    <row r="80" spans="25:26" x14ac:dyDescent="0.2">
      <c r="Y80" s="273"/>
      <c r="Z80" s="245"/>
    </row>
    <row r="81" spans="25:26" x14ac:dyDescent="0.2">
      <c r="Y81" s="273"/>
      <c r="Z81" s="245"/>
    </row>
    <row r="82" spans="25:26" x14ac:dyDescent="0.2">
      <c r="Y82" s="273"/>
      <c r="Z82" s="245"/>
    </row>
    <row r="83" spans="25:26" x14ac:dyDescent="0.2">
      <c r="Y83" s="273"/>
      <c r="Z83" s="245"/>
    </row>
    <row r="84" spans="25:26" x14ac:dyDescent="0.2">
      <c r="Y84" s="273"/>
      <c r="Z84" s="245"/>
    </row>
    <row r="85" spans="25:26" x14ac:dyDescent="0.2">
      <c r="Y85" s="273"/>
      <c r="Z85" s="245"/>
    </row>
    <row r="86" spans="25:26" x14ac:dyDescent="0.2">
      <c r="Y86" s="273"/>
      <c r="Z86" s="245"/>
    </row>
    <row r="87" spans="25:26" x14ac:dyDescent="0.2">
      <c r="Y87" s="273"/>
      <c r="Z87" s="245"/>
    </row>
    <row r="88" spans="25:26" x14ac:dyDescent="0.2">
      <c r="Y88" s="273"/>
      <c r="Z88" s="245"/>
    </row>
    <row r="89" spans="25:26" x14ac:dyDescent="0.2">
      <c r="Y89" s="273"/>
      <c r="Z89" s="245"/>
    </row>
    <row r="90" spans="25:26" x14ac:dyDescent="0.2">
      <c r="Y90" s="273"/>
      <c r="Z90" s="245"/>
    </row>
    <row r="91" spans="25:26" x14ac:dyDescent="0.2">
      <c r="Y91" s="273"/>
      <c r="Z91" s="245"/>
    </row>
    <row r="92" spans="25:26" x14ac:dyDescent="0.2">
      <c r="Y92" s="273"/>
      <c r="Z92" s="245"/>
    </row>
    <row r="93" spans="25:26" x14ac:dyDescent="0.2">
      <c r="Y93" s="273"/>
      <c r="Z93" s="245"/>
    </row>
    <row r="94" spans="25:26" x14ac:dyDescent="0.2">
      <c r="Y94" s="273"/>
      <c r="Z94" s="245"/>
    </row>
    <row r="95" spans="25:26" x14ac:dyDescent="0.2">
      <c r="Y95" s="273"/>
      <c r="Z95" s="245"/>
    </row>
    <row r="96" spans="25:26" x14ac:dyDescent="0.2">
      <c r="Y96" s="273"/>
      <c r="Z96" s="245"/>
    </row>
    <row r="97" spans="25:26" x14ac:dyDescent="0.2">
      <c r="Y97" s="273"/>
      <c r="Z97" s="245"/>
    </row>
    <row r="98" spans="25:26" x14ac:dyDescent="0.2">
      <c r="Y98" s="273"/>
      <c r="Z98" s="245"/>
    </row>
    <row r="99" spans="25:26" x14ac:dyDescent="0.2">
      <c r="Y99" s="273"/>
      <c r="Z99" s="245"/>
    </row>
    <row r="100" spans="25:26" x14ac:dyDescent="0.2">
      <c r="Y100" s="273"/>
      <c r="Z100" s="245"/>
    </row>
    <row r="101" spans="25:26" x14ac:dyDescent="0.2">
      <c r="Y101" s="273"/>
      <c r="Z101" s="245"/>
    </row>
    <row r="102" spans="25:26" x14ac:dyDescent="0.2">
      <c r="Y102" s="273"/>
      <c r="Z102" s="245"/>
    </row>
    <row r="103" spans="25:26" x14ac:dyDescent="0.2">
      <c r="Y103" s="273"/>
      <c r="Z103" s="245"/>
    </row>
    <row r="104" spans="25:26" x14ac:dyDescent="0.2">
      <c r="Y104" s="273"/>
      <c r="Z104" s="245"/>
    </row>
    <row r="105" spans="25:26" x14ac:dyDescent="0.2">
      <c r="Y105" s="273"/>
      <c r="Z105" s="245"/>
    </row>
    <row r="106" spans="25:26" x14ac:dyDescent="0.2">
      <c r="Y106" s="273"/>
      <c r="Z106" s="245"/>
    </row>
    <row r="107" spans="25:26" x14ac:dyDescent="0.2">
      <c r="Y107" s="273"/>
      <c r="Z107" s="245"/>
    </row>
    <row r="108" spans="25:26" x14ac:dyDescent="0.2">
      <c r="Y108" s="273"/>
      <c r="Z108" s="245"/>
    </row>
    <row r="109" spans="25:26" x14ac:dyDescent="0.2">
      <c r="Y109" s="273"/>
      <c r="Z109" s="245"/>
    </row>
    <row r="110" spans="25:26" x14ac:dyDescent="0.2">
      <c r="Y110" s="273"/>
      <c r="Z110" s="245"/>
    </row>
    <row r="111" spans="25:26" x14ac:dyDescent="0.2">
      <c r="Y111" s="273"/>
      <c r="Z111" s="245"/>
    </row>
    <row r="112" spans="25:26" x14ac:dyDescent="0.2">
      <c r="Y112" s="273"/>
      <c r="Z112" s="245"/>
    </row>
    <row r="113" spans="25:26" x14ac:dyDescent="0.2">
      <c r="Y113" s="273"/>
      <c r="Z113" s="245"/>
    </row>
    <row r="114" spans="25:26" x14ac:dyDescent="0.2">
      <c r="Y114" s="273"/>
      <c r="Z114" s="245"/>
    </row>
    <row r="115" spans="25:26" x14ac:dyDescent="0.2">
      <c r="Y115" s="273"/>
      <c r="Z115" s="245"/>
    </row>
    <row r="116" spans="25:26" x14ac:dyDescent="0.2">
      <c r="Y116" s="273"/>
      <c r="Z116" s="245"/>
    </row>
    <row r="117" spans="25:26" x14ac:dyDescent="0.2">
      <c r="Y117" s="273"/>
      <c r="Z117" s="245"/>
    </row>
    <row r="118" spans="25:26" x14ac:dyDescent="0.2">
      <c r="Y118" s="273"/>
      <c r="Z118" s="245"/>
    </row>
    <row r="119" spans="25:26" x14ac:dyDescent="0.2">
      <c r="Y119" s="273"/>
      <c r="Z119" s="245"/>
    </row>
    <row r="120" spans="25:26" x14ac:dyDescent="0.2">
      <c r="Y120" s="273"/>
      <c r="Z120" s="245"/>
    </row>
    <row r="121" spans="25:26" x14ac:dyDescent="0.2">
      <c r="Y121" s="273"/>
      <c r="Z121" s="245"/>
    </row>
    <row r="122" spans="25:26" x14ac:dyDescent="0.2">
      <c r="Y122" s="273"/>
      <c r="Z122" s="245"/>
    </row>
    <row r="123" spans="25:26" x14ac:dyDescent="0.2">
      <c r="Y123" s="273"/>
      <c r="Z123" s="245"/>
    </row>
    <row r="124" spans="25:26" x14ac:dyDescent="0.2">
      <c r="Y124" s="273"/>
      <c r="Z124" s="245"/>
    </row>
    <row r="125" spans="25:26" x14ac:dyDescent="0.2">
      <c r="Y125" s="273"/>
      <c r="Z125" s="245"/>
    </row>
    <row r="126" spans="25:26" x14ac:dyDescent="0.2">
      <c r="Y126" s="273"/>
      <c r="Z126" s="245"/>
    </row>
    <row r="127" spans="25:26" x14ac:dyDescent="0.2">
      <c r="Y127" s="273"/>
      <c r="Z127" s="245"/>
    </row>
    <row r="128" spans="25:26" x14ac:dyDescent="0.2">
      <c r="Y128" s="273"/>
      <c r="Z128" s="245"/>
    </row>
    <row r="129" spans="25:26" x14ac:dyDescent="0.2">
      <c r="Y129" s="273"/>
      <c r="Z129" s="245"/>
    </row>
    <row r="130" spans="25:26" x14ac:dyDescent="0.2">
      <c r="Y130" s="273"/>
      <c r="Z130" s="245"/>
    </row>
    <row r="131" spans="25:26" x14ac:dyDescent="0.2">
      <c r="Y131" s="273"/>
      <c r="Z131" s="245"/>
    </row>
    <row r="132" spans="25:26" x14ac:dyDescent="0.2">
      <c r="Y132" s="273"/>
      <c r="Z132" s="245"/>
    </row>
    <row r="133" spans="25:26" x14ac:dyDescent="0.2">
      <c r="Y133" s="273"/>
      <c r="Z133" s="245"/>
    </row>
    <row r="134" spans="25:26" x14ac:dyDescent="0.2">
      <c r="Y134" s="273"/>
      <c r="Z134" s="245"/>
    </row>
    <row r="135" spans="25:26" x14ac:dyDescent="0.2">
      <c r="Y135" s="273"/>
      <c r="Z135" s="245"/>
    </row>
    <row r="136" spans="25:26" x14ac:dyDescent="0.2">
      <c r="Y136" s="273"/>
      <c r="Z136" s="245"/>
    </row>
    <row r="137" spans="25:26" x14ac:dyDescent="0.2">
      <c r="Y137" s="273"/>
      <c r="Z137" s="245"/>
    </row>
    <row r="138" spans="25:26" x14ac:dyDescent="0.2">
      <c r="Y138" s="273"/>
      <c r="Z138" s="245"/>
    </row>
    <row r="139" spans="25:26" x14ac:dyDescent="0.2">
      <c r="Y139" s="273"/>
      <c r="Z139" s="245"/>
    </row>
    <row r="140" spans="25:26" x14ac:dyDescent="0.2">
      <c r="Y140" s="273"/>
      <c r="Z140" s="245"/>
    </row>
    <row r="141" spans="25:26" x14ac:dyDescent="0.2">
      <c r="Y141" s="273"/>
      <c r="Z141" s="245"/>
    </row>
    <row r="142" spans="25:26" x14ac:dyDescent="0.2">
      <c r="Y142" s="273"/>
      <c r="Z142" s="245"/>
    </row>
    <row r="143" spans="25:26" x14ac:dyDescent="0.2">
      <c r="Y143" s="273"/>
      <c r="Z143" s="245"/>
    </row>
    <row r="144" spans="25:26" x14ac:dyDescent="0.2">
      <c r="Y144" s="273"/>
      <c r="Z144" s="245"/>
    </row>
    <row r="145" spans="25:26" x14ac:dyDescent="0.2">
      <c r="Y145" s="273"/>
      <c r="Z145" s="245"/>
    </row>
    <row r="146" spans="25:26" x14ac:dyDescent="0.2">
      <c r="Y146" s="273"/>
      <c r="Z146" s="245"/>
    </row>
    <row r="147" spans="25:26" x14ac:dyDescent="0.2">
      <c r="Y147" s="273"/>
      <c r="Z147" s="245"/>
    </row>
    <row r="148" spans="25:26" x14ac:dyDescent="0.2">
      <c r="Y148" s="273"/>
      <c r="Z148" s="245"/>
    </row>
    <row r="149" spans="25:26" x14ac:dyDescent="0.2">
      <c r="Y149" s="273"/>
      <c r="Z149" s="245"/>
    </row>
    <row r="150" spans="25:26" x14ac:dyDescent="0.2">
      <c r="Y150" s="273"/>
      <c r="Z150" s="245"/>
    </row>
    <row r="151" spans="25:26" x14ac:dyDescent="0.2">
      <c r="Y151" s="273"/>
      <c r="Z151" s="245"/>
    </row>
    <row r="152" spans="25:26" x14ac:dyDescent="0.2">
      <c r="Y152" s="273"/>
      <c r="Z152" s="245"/>
    </row>
    <row r="153" spans="25:26" x14ac:dyDescent="0.2">
      <c r="Y153" s="273"/>
      <c r="Z153" s="245"/>
    </row>
    <row r="154" spans="25:26" x14ac:dyDescent="0.2">
      <c r="Y154" s="273"/>
      <c r="Z154" s="245"/>
    </row>
    <row r="155" spans="25:26" x14ac:dyDescent="0.2">
      <c r="Y155" s="273"/>
      <c r="Z155" s="245"/>
    </row>
    <row r="156" spans="25:26" x14ac:dyDescent="0.2">
      <c r="Y156" s="273"/>
      <c r="Z156" s="245"/>
    </row>
    <row r="157" spans="25:26" x14ac:dyDescent="0.2">
      <c r="Y157" s="273"/>
      <c r="Z157" s="245"/>
    </row>
    <row r="158" spans="25:26" x14ac:dyDescent="0.2">
      <c r="Y158" s="273"/>
      <c r="Z158" s="245"/>
    </row>
    <row r="159" spans="25:26" x14ac:dyDescent="0.2">
      <c r="Y159" s="273"/>
      <c r="Z159" s="245"/>
    </row>
    <row r="160" spans="25:26" x14ac:dyDescent="0.2">
      <c r="Y160" s="273"/>
      <c r="Z160" s="245"/>
    </row>
    <row r="161" spans="25:26" x14ac:dyDescent="0.2">
      <c r="Y161" s="273"/>
      <c r="Z161" s="245"/>
    </row>
    <row r="162" spans="25:26" x14ac:dyDescent="0.2">
      <c r="Y162" s="273"/>
      <c r="Z162" s="245"/>
    </row>
    <row r="163" spans="25:26" x14ac:dyDescent="0.2">
      <c r="Y163" s="273"/>
      <c r="Z163" s="245"/>
    </row>
    <row r="164" spans="25:26" x14ac:dyDescent="0.2">
      <c r="Y164" s="273"/>
      <c r="Z164" s="245"/>
    </row>
    <row r="165" spans="25:26" x14ac:dyDescent="0.2">
      <c r="Y165" s="273"/>
      <c r="Z165" s="245"/>
    </row>
    <row r="166" spans="25:26" x14ac:dyDescent="0.2">
      <c r="Y166" s="273"/>
      <c r="Z166" s="245"/>
    </row>
    <row r="167" spans="25:26" x14ac:dyDescent="0.2">
      <c r="Y167" s="273"/>
      <c r="Z167" s="245"/>
    </row>
    <row r="168" spans="25:26" x14ac:dyDescent="0.2">
      <c r="Y168" s="273"/>
      <c r="Z168" s="245"/>
    </row>
    <row r="169" spans="25:26" x14ac:dyDescent="0.2">
      <c r="Y169" s="273"/>
      <c r="Z169" s="245"/>
    </row>
    <row r="170" spans="25:26" x14ac:dyDescent="0.2">
      <c r="Y170" s="273"/>
      <c r="Z170" s="245"/>
    </row>
    <row r="171" spans="25:26" x14ac:dyDescent="0.2">
      <c r="Y171" s="273"/>
      <c r="Z171" s="245"/>
    </row>
    <row r="172" spans="25:26" x14ac:dyDescent="0.2">
      <c r="Y172" s="273"/>
      <c r="Z172" s="245"/>
    </row>
    <row r="173" spans="25:26" x14ac:dyDescent="0.2">
      <c r="Y173" s="273"/>
      <c r="Z173" s="245"/>
    </row>
    <row r="174" spans="25:26" x14ac:dyDescent="0.2">
      <c r="Y174" s="273"/>
      <c r="Z174" s="245"/>
    </row>
    <row r="175" spans="25:26" x14ac:dyDescent="0.2">
      <c r="Y175" s="273"/>
      <c r="Z175" s="245"/>
    </row>
    <row r="176" spans="25:26" x14ac:dyDescent="0.2">
      <c r="Y176" s="273"/>
      <c r="Z176" s="245"/>
    </row>
    <row r="177" spans="25:26" x14ac:dyDescent="0.2">
      <c r="Y177" s="273"/>
      <c r="Z177" s="245"/>
    </row>
    <row r="178" spans="25:26" x14ac:dyDescent="0.2">
      <c r="Y178" s="273"/>
      <c r="Z178" s="245"/>
    </row>
    <row r="179" spans="25:26" x14ac:dyDescent="0.2">
      <c r="Y179" s="273"/>
      <c r="Z179" s="245"/>
    </row>
    <row r="180" spans="25:26" x14ac:dyDescent="0.2">
      <c r="Y180" s="273"/>
      <c r="Z180" s="245"/>
    </row>
    <row r="181" spans="25:26" x14ac:dyDescent="0.2">
      <c r="Y181" s="273"/>
      <c r="Z181" s="245"/>
    </row>
    <row r="182" spans="25:26" x14ac:dyDescent="0.2">
      <c r="Y182" s="273"/>
      <c r="Z182" s="245"/>
    </row>
    <row r="183" spans="25:26" x14ac:dyDescent="0.2">
      <c r="Y183" s="273"/>
      <c r="Z183" s="245"/>
    </row>
    <row r="184" spans="25:26" x14ac:dyDescent="0.2">
      <c r="Y184" s="273"/>
      <c r="Z184" s="245"/>
    </row>
    <row r="185" spans="25:26" x14ac:dyDescent="0.2">
      <c r="Y185" s="273"/>
      <c r="Z185" s="245"/>
    </row>
    <row r="186" spans="25:26" x14ac:dyDescent="0.2">
      <c r="Y186" s="273"/>
      <c r="Z186" s="245"/>
    </row>
    <row r="187" spans="25:26" x14ac:dyDescent="0.2">
      <c r="Y187" s="273"/>
      <c r="Z187" s="245"/>
    </row>
    <row r="188" spans="25:26" x14ac:dyDescent="0.2">
      <c r="Y188" s="273"/>
      <c r="Z188" s="245"/>
    </row>
    <row r="189" spans="25:26" x14ac:dyDescent="0.2">
      <c r="Y189" s="273"/>
      <c r="Z189" s="245"/>
    </row>
    <row r="190" spans="25:26" x14ac:dyDescent="0.2">
      <c r="Y190" s="273"/>
      <c r="Z190" s="245"/>
    </row>
    <row r="191" spans="25:26" x14ac:dyDescent="0.2">
      <c r="Y191" s="273"/>
      <c r="Z191" s="245"/>
    </row>
    <row r="192" spans="25:26" x14ac:dyDescent="0.2">
      <c r="Y192" s="273"/>
      <c r="Z192" s="245"/>
    </row>
    <row r="193" spans="25:26" x14ac:dyDescent="0.2">
      <c r="Y193" s="273"/>
      <c r="Z193" s="245"/>
    </row>
    <row r="194" spans="25:26" x14ac:dyDescent="0.2">
      <c r="Y194" s="273"/>
      <c r="Z194" s="245"/>
    </row>
    <row r="195" spans="25:26" x14ac:dyDescent="0.2">
      <c r="Y195" s="273"/>
      <c r="Z195" s="245"/>
    </row>
    <row r="196" spans="25:26" x14ac:dyDescent="0.2">
      <c r="Y196" s="273"/>
      <c r="Z196" s="245"/>
    </row>
    <row r="197" spans="25:26" x14ac:dyDescent="0.2">
      <c r="Y197" s="273"/>
      <c r="Z197" s="245"/>
    </row>
    <row r="198" spans="25:26" x14ac:dyDescent="0.2">
      <c r="Y198" s="273"/>
      <c r="Z198" s="245"/>
    </row>
    <row r="199" spans="25:26" x14ac:dyDescent="0.2">
      <c r="Y199" s="273"/>
      <c r="Z199" s="245"/>
    </row>
    <row r="200" spans="25:26" x14ac:dyDescent="0.2">
      <c r="Y200" s="273"/>
      <c r="Z200" s="245"/>
    </row>
    <row r="201" spans="25:26" x14ac:dyDescent="0.2">
      <c r="Y201" s="273"/>
      <c r="Z201" s="245"/>
    </row>
    <row r="202" spans="25:26" x14ac:dyDescent="0.2">
      <c r="Y202" s="273"/>
      <c r="Z202" s="245"/>
    </row>
    <row r="203" spans="25:26" x14ac:dyDescent="0.2">
      <c r="Y203" s="273"/>
      <c r="Z203" s="245"/>
    </row>
    <row r="204" spans="25:26" x14ac:dyDescent="0.2">
      <c r="Y204" s="273"/>
      <c r="Z204" s="245"/>
    </row>
    <row r="205" spans="25:26" x14ac:dyDescent="0.2">
      <c r="Y205" s="273"/>
      <c r="Z205" s="245"/>
    </row>
    <row r="206" spans="25:26" x14ac:dyDescent="0.2">
      <c r="Y206" s="273"/>
      <c r="Z206" s="245"/>
    </row>
    <row r="207" spans="25:26" x14ac:dyDescent="0.2">
      <c r="Y207" s="273"/>
      <c r="Z207" s="245"/>
    </row>
    <row r="208" spans="25:26" x14ac:dyDescent="0.2">
      <c r="Y208" s="273"/>
      <c r="Z208" s="245"/>
    </row>
    <row r="209" spans="25:26" x14ac:dyDescent="0.2">
      <c r="Y209" s="273"/>
      <c r="Z209" s="245"/>
    </row>
    <row r="210" spans="25:26" x14ac:dyDescent="0.2">
      <c r="Y210" s="273"/>
      <c r="Z210" s="245"/>
    </row>
    <row r="211" spans="25:26" x14ac:dyDescent="0.2">
      <c r="Y211" s="273"/>
      <c r="Z211" s="245"/>
    </row>
    <row r="212" spans="25:26" x14ac:dyDescent="0.2">
      <c r="Y212" s="273"/>
      <c r="Z212" s="245"/>
    </row>
    <row r="213" spans="25:26" x14ac:dyDescent="0.2">
      <c r="Y213" s="273"/>
      <c r="Z213" s="245"/>
    </row>
    <row r="214" spans="25:26" x14ac:dyDescent="0.2">
      <c r="Y214" s="273"/>
      <c r="Z214" s="245"/>
    </row>
    <row r="215" spans="25:26" x14ac:dyDescent="0.2">
      <c r="Y215" s="273"/>
      <c r="Z215" s="245"/>
    </row>
    <row r="216" spans="25:26" x14ac:dyDescent="0.2">
      <c r="Y216" s="273"/>
      <c r="Z216" s="245"/>
    </row>
    <row r="217" spans="25:26" x14ac:dyDescent="0.2">
      <c r="Y217" s="273"/>
      <c r="Z217" s="245"/>
    </row>
    <row r="218" spans="25:26" x14ac:dyDescent="0.2">
      <c r="Y218" s="273"/>
      <c r="Z218" s="245"/>
    </row>
    <row r="219" spans="25:26" x14ac:dyDescent="0.2">
      <c r="Y219" s="273"/>
      <c r="Z219" s="245"/>
    </row>
    <row r="220" spans="25:26" x14ac:dyDescent="0.2">
      <c r="Y220" s="273"/>
      <c r="Z220" s="245"/>
    </row>
    <row r="221" spans="25:26" x14ac:dyDescent="0.2">
      <c r="Y221" s="273"/>
      <c r="Z221" s="245"/>
    </row>
    <row r="222" spans="25:26" x14ac:dyDescent="0.2">
      <c r="Y222" s="273"/>
      <c r="Z222" s="245"/>
    </row>
    <row r="223" spans="25:26" x14ac:dyDescent="0.2">
      <c r="Y223" s="273"/>
      <c r="Z223" s="245"/>
    </row>
    <row r="224" spans="25:26" x14ac:dyDescent="0.2">
      <c r="Y224" s="273"/>
      <c r="Z224" s="245"/>
    </row>
    <row r="225" spans="26:26" x14ac:dyDescent="0.2">
      <c r="Z225" s="245"/>
    </row>
    <row r="226" spans="26:26" x14ac:dyDescent="0.2">
      <c r="Z226" s="245"/>
    </row>
    <row r="227" spans="26:26" x14ac:dyDescent="0.2">
      <c r="Z227" s="245"/>
    </row>
    <row r="228" spans="26:26" x14ac:dyDescent="0.2">
      <c r="Z228" s="245"/>
    </row>
    <row r="229" spans="26:26" x14ac:dyDescent="0.2">
      <c r="Z229" s="245"/>
    </row>
    <row r="230" spans="26:26" x14ac:dyDescent="0.2">
      <c r="Z230" s="245"/>
    </row>
    <row r="231" spans="26:26" x14ac:dyDescent="0.2">
      <c r="Z231" s="245"/>
    </row>
  </sheetData>
  <mergeCells count="10">
    <mergeCell ref="J6:O6"/>
    <mergeCell ref="J7:R9"/>
    <mergeCell ref="Q6:R6"/>
    <mergeCell ref="P35:P36"/>
    <mergeCell ref="Q35:R36"/>
    <mergeCell ref="P25:R26"/>
    <mergeCell ref="P16:R17"/>
    <mergeCell ref="N12:R13"/>
    <mergeCell ref="N10:R11"/>
    <mergeCell ref="P21:R22"/>
  </mergeCells>
  <phoneticPr fontId="0" type="noConversion"/>
  <conditionalFormatting sqref="G5">
    <cfRule type="expression" dxfId="100" priority="1" stopIfTrue="1">
      <formula>B4=""</formula>
    </cfRule>
  </conditionalFormatting>
  <conditionalFormatting sqref="A30 A6 A22 A16 A18 A20 A12 A24 A8 A28 A10 A4 A34 A32 D5 D9 D13 D17 D21 D25 D29 D33 G7 G15 G23 G31 J11 J27 M18 A14 A26">
    <cfRule type="expression" dxfId="99" priority="2" stopIfTrue="1">
      <formula>B4&lt;&gt;""</formula>
    </cfRule>
  </conditionalFormatting>
  <conditionalFormatting sqref="A5 A9 A13 A17 A21 A25 A29 A38 A42 A46 A50 J40">
    <cfRule type="expression" dxfId="98" priority="3" stopIfTrue="1">
      <formula>B4&lt;&gt;""</formula>
    </cfRule>
  </conditionalFormatting>
  <conditionalFormatting sqref="D7 D15 D23 D31">
    <cfRule type="expression" dxfId="97" priority="4" stopIfTrue="1">
      <formula>E5&lt;&gt;""</formula>
    </cfRule>
  </conditionalFormatting>
  <conditionalFormatting sqref="G11 G27">
    <cfRule type="expression" dxfId="96" priority="5" stopIfTrue="1">
      <formula>H7&lt;&gt;""</formula>
    </cfRule>
  </conditionalFormatting>
  <conditionalFormatting sqref="G52">
    <cfRule type="expression" dxfId="95" priority="6" stopIfTrue="1">
      <formula>H47&lt;&gt;""</formula>
    </cfRule>
  </conditionalFormatting>
  <conditionalFormatting sqref="J18">
    <cfRule type="expression" dxfId="94" priority="7" stopIfTrue="1">
      <formula>K11&lt;&gt;""</formula>
    </cfRule>
  </conditionalFormatting>
  <conditionalFormatting sqref="M29">
    <cfRule type="expression" dxfId="93" priority="8" stopIfTrue="1">
      <formula>N18&lt;&gt;""</formula>
    </cfRule>
  </conditionalFormatting>
  <conditionalFormatting sqref="B5 Z57:Z231 Z55 B9 B13 B17 B21 B25 B29 B33 B38 B42 B46 B50 E37 E41 E45 E49 H44 H48 K40 K46">
    <cfRule type="expression" dxfId="92" priority="9" stopIfTrue="1">
      <formula>B4&lt;&gt;""</formula>
    </cfRule>
  </conditionalFormatting>
  <conditionalFormatting sqref="N29">
    <cfRule type="expression" dxfId="91" priority="10" stopIfTrue="1">
      <formula>N18&lt;&gt;""</formula>
    </cfRule>
  </conditionalFormatting>
  <conditionalFormatting sqref="D37">
    <cfRule type="expression" dxfId="90" priority="11" stopIfTrue="1">
      <formula>E44&lt;&gt;""</formula>
    </cfRule>
  </conditionalFormatting>
  <conditionalFormatting sqref="D45">
    <cfRule type="expression" dxfId="89" priority="12" stopIfTrue="1">
      <formula>E48&lt;&gt;""</formula>
    </cfRule>
  </conditionalFormatting>
  <conditionalFormatting sqref="H52">
    <cfRule type="expression" dxfId="88" priority="13" stopIfTrue="1">
      <formula>H47&lt;&gt;""</formula>
    </cfRule>
  </conditionalFormatting>
  <conditionalFormatting sqref="G39">
    <cfRule type="expression" dxfId="87" priority="14" stopIfTrue="1">
      <formula>H41&lt;&gt;""</formula>
    </cfRule>
  </conditionalFormatting>
  <conditionalFormatting sqref="M43">
    <cfRule type="expression" dxfId="86" priority="15" stopIfTrue="1">
      <formula>N40&lt;&gt;""</formula>
    </cfRule>
  </conditionalFormatting>
  <conditionalFormatting sqref="E7 E15 E23 E31 H39">
    <cfRule type="expression" dxfId="85" priority="16" stopIfTrue="1">
      <formula>E5&lt;&gt;""</formula>
    </cfRule>
  </conditionalFormatting>
  <conditionalFormatting sqref="H11 H27">
    <cfRule type="expression" dxfId="84" priority="17" stopIfTrue="1">
      <formula>H7&lt;&gt;""</formula>
    </cfRule>
  </conditionalFormatting>
  <conditionalFormatting sqref="K18">
    <cfRule type="expression" dxfId="83" priority="18" stopIfTrue="1">
      <formula>K11&lt;&gt;""</formula>
    </cfRule>
  </conditionalFormatting>
  <conditionalFormatting sqref="N43">
    <cfRule type="expression" dxfId="82" priority="19" stopIfTrue="1">
      <formula>N40&lt;&gt;""</formula>
    </cfRule>
  </conditionalFormatting>
  <conditionalFormatting sqref="A37 A39 A41 A43 A45 A47 A49 A51 D36 D38 D40 D42 D44 D46 D48 D50 G37 G41 G43 G45 G47 G49 J39 J42 J45 J48 M40 M47">
    <cfRule type="expression" dxfId="81" priority="20" stopIfTrue="1">
      <formula>B36&lt;&gt;""</formula>
    </cfRule>
  </conditionalFormatting>
  <conditionalFormatting sqref="Z54">
    <cfRule type="expression" dxfId="80" priority="21" stopIfTrue="1">
      <formula>Q35&lt;&gt;""</formula>
    </cfRule>
  </conditionalFormatting>
  <conditionalFormatting sqref="R33">
    <cfRule type="expression" dxfId="79" priority="22" stopIfTrue="1">
      <formula>$Q$34&lt;$Q$37</formula>
    </cfRule>
  </conditionalFormatting>
  <conditionalFormatting sqref="R34">
    <cfRule type="expression" dxfId="78" priority="23" stopIfTrue="1">
      <formula>$Q$34&lt;$Q$37</formula>
    </cfRule>
    <cfRule type="expression" dxfId="77" priority="24" stopIfTrue="1">
      <formula>$Q$34&gt;$Q$37</formula>
    </cfRule>
  </conditionalFormatting>
  <conditionalFormatting sqref="Z56">
    <cfRule type="expression" dxfId="76" priority="25" stopIfTrue="1">
      <formula>#REF!&lt;&gt;""</formula>
    </cfRule>
  </conditionalFormatting>
  <conditionalFormatting sqref="N12">
    <cfRule type="expression" dxfId="75" priority="26" stopIfTrue="1">
      <formula>$R$2=1</formula>
    </cfRule>
    <cfRule type="expression" dxfId="74" priority="27" stopIfTrue="1">
      <formula>$R$2=2</formula>
    </cfRule>
  </conditionalFormatting>
  <conditionalFormatting sqref="J7:L10 N10 M7:R9 S7:T10 S11:U12 W11:W12">
    <cfRule type="expression" dxfId="73" priority="28" stopIfTrue="1">
      <formula>$R$2=1</formula>
    </cfRule>
    <cfRule type="expression" dxfId="72" priority="29" stopIfTrue="1">
      <formula>$R$2=2</formula>
    </cfRule>
  </conditionalFormatting>
  <conditionalFormatting sqref="K27 B26 B32 B30 B20 B24 B16 B28 E21 E13 E5 B4 B6 K11 H31 H23 H15 H7 E33 E29 E25 E17 E9 B34 B10 B8 B12 B18 B22 N18 B14">
    <cfRule type="cellIs" dxfId="71" priority="30" stopIfTrue="1" operator="notEqual">
      <formula>""</formula>
    </cfRule>
  </conditionalFormatting>
  <conditionalFormatting sqref="O52">
    <cfRule type="expression" dxfId="70" priority="31" stopIfTrue="1">
      <formula>#REF!=""</formula>
    </cfRule>
  </conditionalFormatting>
  <conditionalFormatting sqref="L52">
    <cfRule type="expression" dxfId="69" priority="32" stopIfTrue="1">
      <formula>#REF!=""</formula>
    </cfRule>
  </conditionalFormatting>
  <conditionalFormatting sqref="B36 D4 B27 C16:C18 C20:C22 C24:C30 C32:C36 C4:C6 C8:C10 C12:C14">
    <cfRule type="expression" priority="33" stopIfTrue="1">
      <formula>$B$4=0</formula>
    </cfRule>
    <cfRule type="expression" priority="34" stopIfTrue="1">
      <formula>#REF!=0</formula>
    </cfRule>
  </conditionalFormatting>
  <conditionalFormatting sqref="B37 B39 B41 B43 B45 B47 B49 B51 E36 E38 E40 E42 E44 E46 E48 E50 H37 H41 H43 H45 H47 H49 K39 K42 K45 K48 N40 N47">
    <cfRule type="cellIs" dxfId="68" priority="35" stopIfTrue="1" operator="notEqual">
      <formula>""</formula>
    </cfRule>
  </conditionalFormatting>
  <conditionalFormatting sqref="A33">
    <cfRule type="expression" dxfId="67" priority="36" stopIfTrue="1">
      <formula>$B$32&lt;&gt;""</formula>
    </cfRule>
  </conditionalFormatting>
  <conditionalFormatting sqref="D41 J46">
    <cfRule type="expression" dxfId="66" priority="37" stopIfTrue="1">
      <formula>E40&lt;&gt;""</formula>
    </cfRule>
  </conditionalFormatting>
  <conditionalFormatting sqref="D49">
    <cfRule type="expression" dxfId="65" priority="38" stopIfTrue="1">
      <formula>$E$48&lt;&gt;""</formula>
    </cfRule>
  </conditionalFormatting>
  <conditionalFormatting sqref="G44">
    <cfRule type="expression" dxfId="64" priority="39" stopIfTrue="1">
      <formula>H44&lt;&gt;""</formula>
    </cfRule>
  </conditionalFormatting>
  <conditionalFormatting sqref="G48">
    <cfRule type="expression" dxfId="63" priority="40" stopIfTrue="1">
      <formula>$H$47&lt;&gt;""</formula>
    </cfRule>
  </conditionalFormatting>
  <conditionalFormatting sqref="R37">
    <cfRule type="expression" dxfId="62" priority="41" stopIfTrue="1">
      <formula>Q34&lt;Q37</formula>
    </cfRule>
  </conditionalFormatting>
  <printOptions horizontalCentered="1" verticalCentered="1"/>
  <pageMargins left="0.75" right="0.75" top="0" bottom="0" header="0" footer="0"/>
  <pageSetup paperSize="8" scale="53"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0"/>
  <dimension ref="A2:AD41"/>
  <sheetViews>
    <sheetView zoomScale="75" zoomScaleNormal="75" zoomScaleSheetLayoutView="75" workbookViewId="0">
      <selection activeCell="P8" sqref="P8:R9"/>
    </sheetView>
  </sheetViews>
  <sheetFormatPr defaultRowHeight="12.75" x14ac:dyDescent="0.2"/>
  <cols>
    <col min="1" max="1" width="20" style="28" customWidth="1"/>
    <col min="2" max="2" width="5.625" style="23" customWidth="1"/>
    <col min="3" max="3" width="6.25" style="23" customWidth="1"/>
    <col min="4" max="4" width="20" style="29" customWidth="1"/>
    <col min="5" max="5" width="5.625" style="30" customWidth="1"/>
    <col min="6" max="6" width="6.25" style="30" customWidth="1"/>
    <col min="7" max="7" width="20" style="29" customWidth="1"/>
    <col min="8" max="8" width="5.625" style="30" customWidth="1"/>
    <col min="9" max="9" width="6.25" style="30" customWidth="1"/>
    <col min="10" max="10" width="20" style="29" customWidth="1"/>
    <col min="11" max="11" width="5.625" style="30" customWidth="1"/>
    <col min="12" max="12" width="6.25" style="30" customWidth="1"/>
    <col min="13" max="13" width="20" style="29" customWidth="1"/>
    <col min="14" max="14" width="5.625" style="30" customWidth="1"/>
    <col min="15" max="15" width="6.25" style="30" customWidth="1"/>
    <col min="16" max="16" width="20" style="29" customWidth="1"/>
    <col min="17" max="17" width="4.375" style="29" customWidth="1"/>
    <col min="18" max="18" width="4.375" style="30" customWidth="1"/>
    <col min="19" max="19" width="25.25" style="1" customWidth="1"/>
    <col min="20" max="21" width="4.375" style="2" customWidth="1"/>
    <col min="22" max="22" width="6.375" style="1" bestFit="1" customWidth="1"/>
    <col min="23" max="37" width="5" style="1" customWidth="1"/>
    <col min="38" max="16384" width="9" style="1"/>
  </cols>
  <sheetData>
    <row r="2" spans="1:30" s="19" customFormat="1" ht="15" customHeight="1" x14ac:dyDescent="0.2">
      <c r="A2" s="22" t="s">
        <v>18</v>
      </c>
      <c r="B2" s="22"/>
      <c r="C2" s="22"/>
      <c r="D2" s="22" t="s">
        <v>19</v>
      </c>
      <c r="E2" s="22"/>
      <c r="F2" s="22"/>
      <c r="G2" s="22" t="s">
        <v>20</v>
      </c>
      <c r="H2" s="22"/>
      <c r="I2" s="22"/>
      <c r="J2" s="22" t="s">
        <v>21</v>
      </c>
      <c r="K2" s="22"/>
      <c r="L2" s="22"/>
      <c r="M2" s="22" t="s">
        <v>22</v>
      </c>
      <c r="N2" s="22"/>
      <c r="O2" s="22"/>
      <c r="P2" s="22" t="s">
        <v>23</v>
      </c>
      <c r="Q2" s="27"/>
      <c r="R2" s="58">
        <f>CONFIGURAR!B14</f>
        <v>2</v>
      </c>
      <c r="T2" s="20"/>
      <c r="U2" s="20"/>
    </row>
    <row r="3" spans="1:30" ht="26.25" customHeight="1" x14ac:dyDescent="0.2">
      <c r="J3" s="333" t="s">
        <v>62</v>
      </c>
      <c r="K3" s="332"/>
      <c r="L3" s="332"/>
      <c r="M3" s="332"/>
      <c r="N3" s="332"/>
      <c r="O3" s="332"/>
      <c r="P3" s="332"/>
      <c r="Q3" s="332"/>
      <c r="R3" s="332"/>
    </row>
    <row r="4" spans="1:30" s="5" customFormat="1" ht="23.25" customHeight="1" x14ac:dyDescent="0.2">
      <c r="A4" s="3" t="str">
        <f>CONFIGURAR!AD13</f>
        <v>H</v>
      </c>
      <c r="B4" s="40"/>
      <c r="C4" s="48"/>
      <c r="D4" s="10"/>
      <c r="E4" s="11"/>
      <c r="F4" s="11"/>
      <c r="G4" s="10"/>
      <c r="H4" s="11"/>
      <c r="I4" s="11"/>
      <c r="J4" s="332"/>
      <c r="K4" s="332"/>
      <c r="L4" s="332"/>
      <c r="M4" s="332"/>
      <c r="N4" s="332"/>
      <c r="O4" s="332"/>
      <c r="P4" s="332"/>
      <c r="Q4" s="332"/>
      <c r="R4" s="332"/>
      <c r="U4" s="139"/>
      <c r="V4" s="139"/>
      <c r="W4" s="139"/>
      <c r="X4" s="139"/>
      <c r="Y4" s="139"/>
      <c r="Z4" s="139"/>
      <c r="AA4" s="139"/>
      <c r="AD4" s="140"/>
    </row>
    <row r="5" spans="1:30" s="5" customFormat="1" ht="23.25" customHeight="1" x14ac:dyDescent="0.2">
      <c r="A5" s="137" t="s">
        <v>0</v>
      </c>
      <c r="B5" s="53">
        <f>CONFIGURAR!$D$18</f>
        <v>0.41666666666666669</v>
      </c>
      <c r="C5" s="47"/>
      <c r="D5" s="3" t="str">
        <f>IF(B4="","Vencedor Jogo 1",IF(B4&gt;B6,A4,A6))</f>
        <v>Vencedor Jogo 1</v>
      </c>
      <c r="E5" s="40"/>
      <c r="F5" s="18"/>
      <c r="G5" s="13"/>
      <c r="H5" s="48"/>
      <c r="I5" s="48"/>
      <c r="J5" s="10"/>
      <c r="K5" s="11"/>
      <c r="L5" s="11"/>
      <c r="M5" s="339" t="str">
        <f>IF(CONFIGURAR!$D$11="","",CONFIGURAR!$D$11)</f>
        <v>Xxx Xxxxxxxxxxx</v>
      </c>
      <c r="N5" s="339"/>
      <c r="O5" s="339"/>
      <c r="P5" s="296">
        <f>IF(CONFIGURAR!$G$10="","",CONFIGURAR!$G$10)</f>
        <v>43523</v>
      </c>
      <c r="Q5" s="340">
        <f>IF(CONFIGURAR!$D$10="","",CONFIGURAR!$D$10)</f>
        <v>0.41666666666666669</v>
      </c>
      <c r="R5" s="340"/>
      <c r="U5" s="160"/>
      <c r="W5" s="138"/>
      <c r="X5" s="138"/>
      <c r="Y5" s="138"/>
      <c r="Z5" s="138"/>
      <c r="AA5" s="138"/>
      <c r="AB5" s="138"/>
      <c r="AC5" s="138"/>
      <c r="AD5" s="138"/>
    </row>
    <row r="6" spans="1:30" s="5" customFormat="1" ht="23.25" customHeight="1" x14ac:dyDescent="0.2">
      <c r="A6" s="3" t="str">
        <f>CONFIGURAR!AD7</f>
        <v>B</v>
      </c>
      <c r="B6" s="40"/>
      <c r="C6" s="48"/>
      <c r="D6" s="10"/>
      <c r="E6" s="11"/>
      <c r="F6" s="11"/>
      <c r="G6" s="10"/>
      <c r="H6" s="11"/>
      <c r="I6" s="11"/>
      <c r="J6" s="10"/>
      <c r="K6" s="11"/>
      <c r="L6" s="11"/>
      <c r="M6" s="338" t="str">
        <f>CONFIGURAR!$D$9</f>
        <v>Xxxxxxx Xxxxxxxxxxxxx</v>
      </c>
      <c r="N6" s="338"/>
      <c r="O6" s="338"/>
      <c r="P6" s="338"/>
      <c r="Q6" s="338"/>
      <c r="R6" s="338"/>
      <c r="T6" s="138"/>
      <c r="U6" s="160"/>
      <c r="W6" s="138"/>
      <c r="X6" s="138"/>
      <c r="Y6" s="138"/>
      <c r="Z6" s="138"/>
      <c r="AA6" s="138"/>
      <c r="AB6" s="138"/>
      <c r="AC6" s="138"/>
      <c r="AD6" s="138"/>
    </row>
    <row r="7" spans="1:30" s="5" customFormat="1" ht="23.25" customHeight="1" x14ac:dyDescent="0.2">
      <c r="A7" s="8"/>
      <c r="B7" s="9"/>
      <c r="C7" s="9"/>
      <c r="D7" s="137" t="s">
        <v>27</v>
      </c>
      <c r="E7" s="53">
        <f>IF(CONFIGURAR!$D$21=1,CONFIGURAR!AD48,IF(CONFIGURAR!$D$21=2,CONFIGURAR!AE48,IF(CONFIGURAR!$D$21=3,CONFIGURAR!AF48,IF(CONFIGURAR!$D$21=4,CONFIGURAR!AG48,IF(CONFIGURAR!$D$21=5,CONFIGURAR!AH48,IF(CONFIGURAR!$D$21=6,CONFIGURAR!AI48,""))))))</f>
        <v>0.44097222222222215</v>
      </c>
      <c r="F7" s="12"/>
      <c r="I7" s="18"/>
      <c r="J7" s="3" t="str">
        <f>IF(E5="","Vencedor Jogo 8",IF(E5&gt;E9,D5,D9))</f>
        <v>Vencedor Jogo 8</v>
      </c>
      <c r="K7" s="40"/>
      <c r="L7" s="11"/>
      <c r="M7" s="338"/>
      <c r="N7" s="338"/>
      <c r="O7" s="338"/>
      <c r="P7" s="338"/>
      <c r="Q7" s="338"/>
      <c r="R7" s="338"/>
      <c r="T7" s="138"/>
      <c r="U7" s="160"/>
      <c r="W7" s="138"/>
      <c r="X7" s="138"/>
      <c r="Y7" s="138"/>
      <c r="Z7" s="138"/>
      <c r="AA7" s="138"/>
      <c r="AB7" s="138"/>
      <c r="AC7" s="138"/>
      <c r="AD7" s="138"/>
    </row>
    <row r="8" spans="1:30" s="5" customFormat="1" ht="23.25" customHeight="1" x14ac:dyDescent="0.2">
      <c r="A8" s="3" t="str">
        <f>CONFIGURAR!AD11</f>
        <v>F</v>
      </c>
      <c r="B8" s="40"/>
      <c r="C8" s="48"/>
      <c r="D8" s="10"/>
      <c r="E8" s="11"/>
      <c r="F8" s="11"/>
      <c r="I8" s="47"/>
      <c r="M8" s="342" t="str">
        <f>UPPER(CONFIGURAR!$D$12)</f>
        <v>XXXXXXXX</v>
      </c>
      <c r="N8" s="342"/>
      <c r="O8" s="342"/>
      <c r="P8" s="341" t="str">
        <f>IF(R2=1,"FEMININO",IF(R2=2,"MASCULINO",IF(R2=3,"MISTO","")))</f>
        <v>MASCULINO</v>
      </c>
      <c r="Q8" s="341"/>
      <c r="R8" s="341"/>
      <c r="T8" s="138"/>
      <c r="U8" s="160"/>
      <c r="W8" s="138"/>
      <c r="X8" s="138"/>
      <c r="Y8" s="138"/>
      <c r="Z8" s="138"/>
      <c r="AA8" s="138"/>
      <c r="AB8" s="138"/>
      <c r="AC8" s="138"/>
      <c r="AD8" s="138"/>
    </row>
    <row r="9" spans="1:30" s="5" customFormat="1" ht="23.25" customHeight="1" x14ac:dyDescent="0.2">
      <c r="A9" s="137" t="s">
        <v>1</v>
      </c>
      <c r="B9" s="53">
        <f>IF(CONFIGURAR!$D$21=1,CONFIGURAR!AD42,IF(CONFIGURAR!$D$21=2,CONFIGURAR!AE42,IF(CONFIGURAR!$D$21=3,CONFIGURAR!AF42,IF(CONFIGURAR!$D$21=4,CONFIGURAR!AG42,IF(CONFIGURAR!$D$21=5,CONFIGURAR!AH42,IF(CONFIGURAR!$D$21=6,CONFIGURAR!AI42,""))))))</f>
        <v>0.4201388888888889</v>
      </c>
      <c r="C9" s="47"/>
      <c r="D9" s="199" t="str">
        <f>IF(B8="","Vencedor Jogo 2",IF(B8&gt;B10,A8,A10))</f>
        <v>Vencedor Jogo 2</v>
      </c>
      <c r="E9" s="40"/>
      <c r="F9" s="48"/>
      <c r="G9" s="10"/>
      <c r="H9" s="11"/>
      <c r="I9" s="11"/>
      <c r="J9" s="10"/>
      <c r="K9" s="11"/>
      <c r="L9" s="11"/>
      <c r="M9" s="342"/>
      <c r="N9" s="342"/>
      <c r="O9" s="342"/>
      <c r="P9" s="341"/>
      <c r="Q9" s="341"/>
      <c r="R9" s="341"/>
      <c r="T9" s="32"/>
      <c r="U9" s="160"/>
      <c r="W9" s="32"/>
      <c r="Y9" s="141"/>
      <c r="Z9" s="141"/>
      <c r="AA9" s="141"/>
      <c r="AB9" s="141"/>
      <c r="AC9" s="141"/>
      <c r="AD9" s="141"/>
    </row>
    <row r="10" spans="1:30" s="5" customFormat="1" ht="23.25" customHeight="1" x14ac:dyDescent="0.2">
      <c r="A10" s="3" t="str">
        <f>CONFIGURAR!AD15</f>
        <v>J</v>
      </c>
      <c r="B10" s="40"/>
      <c r="C10" s="48"/>
      <c r="D10" s="10"/>
      <c r="E10" s="11"/>
      <c r="F10" s="11"/>
      <c r="G10" s="10"/>
      <c r="H10" s="11"/>
      <c r="I10" s="11"/>
      <c r="J10" s="10"/>
      <c r="K10" s="11"/>
      <c r="L10" s="11"/>
      <c r="T10" s="10"/>
      <c r="U10" s="160"/>
      <c r="W10" s="10"/>
      <c r="X10" s="141"/>
      <c r="Y10" s="141"/>
      <c r="Z10" s="141"/>
      <c r="AA10" s="141"/>
      <c r="AB10" s="141"/>
      <c r="AC10" s="141"/>
      <c r="AD10" s="141"/>
    </row>
    <row r="11" spans="1:30" s="5" customFormat="1" ht="23.25" customHeight="1" x14ac:dyDescent="0.2">
      <c r="A11" s="8"/>
      <c r="B11" s="9"/>
      <c r="C11" s="9"/>
      <c r="F11" s="47"/>
      <c r="I11" s="48"/>
      <c r="L11" s="48"/>
      <c r="M11" s="10"/>
      <c r="N11" s="10"/>
      <c r="O11" s="334" t="str">
        <f>IF(R22&lt;R26,P26,IF(R22&gt;R26,P22,(IF(Q22="","Vencedor da Final",IF(Q22&gt;Q26,P22,IF(Q22&lt;Q26,"Vencedor Finalíssima",P22))))))</f>
        <v>Vencedor da Final</v>
      </c>
      <c r="P11" s="334"/>
      <c r="Q11" s="334"/>
      <c r="R11" s="334"/>
      <c r="T11" s="10"/>
      <c r="U11" s="160"/>
      <c r="W11" s="10"/>
      <c r="Y11" s="142"/>
      <c r="Z11" s="142"/>
      <c r="AA11" s="142"/>
      <c r="AB11" s="142"/>
      <c r="AC11" s="142"/>
      <c r="AD11" s="142"/>
    </row>
    <row r="12" spans="1:30" s="5" customFormat="1" ht="23.25" customHeight="1" x14ac:dyDescent="0.2">
      <c r="A12" s="3" t="str">
        <f>CONFIGURAR!AD6</f>
        <v>A</v>
      </c>
      <c r="B12" s="40"/>
      <c r="C12" s="48"/>
      <c r="D12" s="10"/>
      <c r="E12" s="11"/>
      <c r="F12" s="11"/>
      <c r="G12" s="10"/>
      <c r="H12" s="11"/>
      <c r="I12" s="11"/>
      <c r="J12" s="137" t="s">
        <v>33</v>
      </c>
      <c r="K12" s="53">
        <f>IF(CONFIGURAR!$D$21=1,CONFIGURAR!AD57,IF(CONFIGURAR!$D$21=2,CONFIGURAR!AE57,IF(CONFIGURAR!$D$21=3,CONFIGURAR!AF57,IF(CONFIGURAR!$D$21=4,CONFIGURAR!AG57,IF(CONFIGURAR!$D$21=5,H34,IF(CONFIGURAR!$D$21=6,H34,""))))))</f>
        <v>0.47222222222222204</v>
      </c>
      <c r="L12" s="11"/>
      <c r="M12" s="10"/>
      <c r="N12" s="10"/>
      <c r="O12" s="334"/>
      <c r="P12" s="334"/>
      <c r="Q12" s="334"/>
      <c r="R12" s="334"/>
      <c r="T12" s="10"/>
      <c r="U12" s="160"/>
      <c r="W12" s="10"/>
      <c r="X12" s="142"/>
      <c r="Y12" s="142"/>
      <c r="Z12" s="142"/>
      <c r="AA12" s="142"/>
      <c r="AB12" s="142"/>
      <c r="AC12" s="142"/>
      <c r="AD12" s="142"/>
    </row>
    <row r="13" spans="1:30" s="5" customFormat="1" ht="23.25" customHeight="1" x14ac:dyDescent="0.2">
      <c r="A13" s="137" t="s">
        <v>4</v>
      </c>
      <c r="B13" s="53">
        <f>IF(CONFIGURAR!$D$21=1,CONFIGURAR!AD43,IF(CONFIGURAR!$D$21=2,CONFIGURAR!AE43,IF(CONFIGURAR!$D$21=3,CONFIGURAR!AF43,IF(CONFIGURAR!$D$21=4,CONFIGURAR!AG43,IF(CONFIGURAR!$D$21=5,CONFIGURAR!AH43,IF(CONFIGURAR!$D$21=6,CONFIGURAR!AI43,""))))))</f>
        <v>0.4236111111111111</v>
      </c>
      <c r="C13" s="47"/>
      <c r="D13" s="3" t="str">
        <f>IF(B12="","Vencedor Jogo 3",IF(B12&gt;B14,A12,A14))</f>
        <v>Vencedor Jogo 3</v>
      </c>
      <c r="E13" s="40"/>
      <c r="F13" s="48"/>
      <c r="G13" s="10"/>
      <c r="H13" s="11"/>
      <c r="I13" s="11"/>
      <c r="J13" s="33"/>
      <c r="K13" s="11"/>
      <c r="L13" s="11"/>
      <c r="M13" s="32"/>
      <c r="O13" s="334"/>
      <c r="P13" s="334"/>
      <c r="Q13" s="334"/>
      <c r="R13" s="334"/>
      <c r="U13" s="160"/>
    </row>
    <row r="14" spans="1:30" s="5" customFormat="1" ht="23.25" customHeight="1" x14ac:dyDescent="0.2">
      <c r="A14" s="3" t="str">
        <f>CONFIGURAR!AD9</f>
        <v>D</v>
      </c>
      <c r="B14" s="40"/>
      <c r="C14" s="48"/>
      <c r="D14" s="10"/>
      <c r="E14" s="11"/>
      <c r="F14" s="11"/>
      <c r="G14" s="10"/>
      <c r="H14" s="11"/>
      <c r="I14" s="11"/>
      <c r="J14" s="10"/>
      <c r="K14" s="11"/>
      <c r="L14" s="11"/>
      <c r="M14" s="32"/>
      <c r="O14" s="42"/>
      <c r="P14" s="42"/>
      <c r="Q14" s="42"/>
      <c r="R14" s="42"/>
      <c r="U14" s="160"/>
    </row>
    <row r="15" spans="1:30" s="5" customFormat="1" ht="23.25" customHeight="1" x14ac:dyDescent="0.2">
      <c r="A15" s="8"/>
      <c r="B15" s="9"/>
      <c r="C15" s="9"/>
      <c r="D15" s="137" t="s">
        <v>28</v>
      </c>
      <c r="E15" s="53">
        <f>IF(CONFIGURAR!$D$21=1,CONFIGURAR!AD49,IF(CONFIGURAR!$D$21=2,CONFIGURAR!AE49,IF(CONFIGURAR!$D$21=3,CONFIGURAR!AF49,IF(CONFIGURAR!$D$21=4,CONFIGURAR!AG49,IF(CONFIGURAR!$D$21=5,CONFIGURAR!AH49,IF(CONFIGURAR!$D$21=6,CONFIGURAR!AI49,""))))))</f>
        <v>0.44444444444444436</v>
      </c>
      <c r="F15" s="12"/>
      <c r="G15" s="3" t="str">
        <f>IF(E13="","Vencedor Jogo 9",IF(E13&gt;E17,D13,D17))</f>
        <v>Vencedor Jogo 9</v>
      </c>
      <c r="H15" s="40"/>
      <c r="I15" s="18"/>
      <c r="L15" s="47"/>
      <c r="M15" s="10"/>
      <c r="N15" s="11"/>
      <c r="O15" s="336" t="str">
        <f>IF(R22&lt;R26,P22,IF(R22&gt;R26,P26,IF(Q22="","Derrotado da Final",IF(Q22&lt;Q26,"Derrotado Finalíssima",IF(Q22&lt;Q26,P22,P26)))))</f>
        <v>Derrotado da Final</v>
      </c>
      <c r="P15" s="336"/>
      <c r="Q15" s="336"/>
      <c r="R15" s="336"/>
      <c r="U15" s="160"/>
    </row>
    <row r="16" spans="1:30" s="5" customFormat="1" ht="23.25" customHeight="1" x14ac:dyDescent="0.2">
      <c r="A16" s="3" t="str">
        <f>CONFIGURAR!AD8</f>
        <v>C</v>
      </c>
      <c r="B16" s="40"/>
      <c r="C16" s="48"/>
      <c r="D16" s="10"/>
      <c r="E16" s="11"/>
      <c r="F16" s="11"/>
      <c r="G16" s="10"/>
      <c r="H16" s="11"/>
      <c r="I16" s="11"/>
      <c r="J16" s="10"/>
      <c r="K16" s="11"/>
      <c r="L16" s="11"/>
      <c r="M16" s="10"/>
      <c r="N16" s="11"/>
      <c r="O16" s="336"/>
      <c r="P16" s="336"/>
      <c r="Q16" s="336"/>
      <c r="R16" s="336"/>
      <c r="S16" s="4"/>
      <c r="U16" s="160"/>
    </row>
    <row r="17" spans="1:25" s="5" customFormat="1" ht="23.25" customHeight="1" x14ac:dyDescent="0.2">
      <c r="A17" s="137" t="s">
        <v>2</v>
      </c>
      <c r="B17" s="53">
        <f>IF(CONFIGURAR!$D$21=1,CONFIGURAR!AD44,IF(CONFIGURAR!$D$21=2,CONFIGURAR!AE44,IF(CONFIGURAR!$D$21=3,CONFIGURAR!AF44,IF(CONFIGURAR!$D$21=4,CONFIGURAR!AG44,IF(CONFIGURAR!$D$21=5,CONFIGURAR!AH44,IF(CONFIGURAR!$D$21=6,CONFIGURAR!AI44,""))))))</f>
        <v>0.42708333333333331</v>
      </c>
      <c r="C17" s="47"/>
      <c r="D17" s="3" t="str">
        <f>IF(B16="","Vencedor Jogo 4",IF(B16&gt;B18,A16,A18))</f>
        <v>Vencedor Jogo 4</v>
      </c>
      <c r="E17" s="40"/>
      <c r="F17" s="48"/>
      <c r="G17" s="10"/>
      <c r="H17" s="11"/>
      <c r="I17" s="11"/>
      <c r="L17" s="11"/>
      <c r="M17" s="10"/>
      <c r="N17" s="11"/>
      <c r="O17" s="43"/>
      <c r="P17" s="44"/>
      <c r="Q17" s="44"/>
      <c r="R17" s="43"/>
      <c r="U17" s="160"/>
    </row>
    <row r="18" spans="1:25" s="5" customFormat="1" ht="23.25" customHeight="1" x14ac:dyDescent="0.2">
      <c r="A18" s="3" t="str">
        <f>CONFIGURAR!AD14</f>
        <v>I</v>
      </c>
      <c r="B18" s="40"/>
      <c r="C18" s="48"/>
      <c r="D18" s="10"/>
      <c r="E18" s="11"/>
      <c r="F18" s="11"/>
      <c r="G18" s="137" t="s">
        <v>29</v>
      </c>
      <c r="H18" s="53">
        <f>IF(CONFIGURAR!$D$21=1,CONFIGURAR!AD54,IF(CONFIGURAR!$D$21=2,CONFIGURAR!AE54,IF(CONFIGURAR!$D$21=3,CONFIGURAR!AF54,IF(CONFIGURAR!$D$21=4,CONFIGURAR!AG54,IF(CONFIGURAR!$D$21=5,CONFIGURAR!AH54,IF(CONFIGURAR!$D$21=6,CONFIGURAR!AI54,""))))))</f>
        <v>0.46180555555555541</v>
      </c>
      <c r="I18" s="11"/>
      <c r="J18" s="3" t="str">
        <f>IF(H15="","Vencedor Jogo 14",IF(H15&gt;H22,G15,G22))</f>
        <v>Vencedor Jogo 14</v>
      </c>
      <c r="K18" s="40"/>
      <c r="L18" s="11"/>
      <c r="M18" s="10"/>
      <c r="N18" s="11"/>
      <c r="O18" s="337" t="str">
        <f>IF(N32="","Derrotado Jogo 19",IF(N32&lt;N28,M32,M28))</f>
        <v>Derrotado Jogo 19</v>
      </c>
      <c r="P18" s="337" t="str">
        <f>IF(K8="","1º Finalista",IF(K8&gt;K20,J8,J20))</f>
        <v>1º Finalista</v>
      </c>
      <c r="Q18" s="337" t="str">
        <f>IF(L8="","1º Finalista",IF(L8&gt;L20,K8,K20))</f>
        <v>1º Finalista</v>
      </c>
      <c r="R18" s="337" t="str">
        <f>IF(M12="","1º Finalista",IF(M12&gt;Q9,L8,L20))</f>
        <v>1º Finalista</v>
      </c>
      <c r="S18" s="57"/>
      <c r="T18" s="57"/>
      <c r="U18" s="160"/>
      <c r="W18" s="57"/>
      <c r="X18" s="57"/>
      <c r="Y18" s="57"/>
    </row>
    <row r="19" spans="1:25" s="5" customFormat="1" ht="23.25" customHeight="1" x14ac:dyDescent="0.2">
      <c r="A19" s="8"/>
      <c r="B19" s="9"/>
      <c r="C19" s="9"/>
      <c r="F19" s="47"/>
      <c r="H19" s="48"/>
      <c r="I19" s="48"/>
      <c r="J19" s="34"/>
      <c r="K19" s="12"/>
      <c r="L19" s="12"/>
      <c r="N19" s="11"/>
      <c r="O19" s="337" t="str">
        <f>IF(J9="","1º Finalista",IF(J9&gt;#REF!,I9,I21))</f>
        <v>1º Finalista</v>
      </c>
      <c r="P19" s="337" t="str">
        <f>IF(K9="","1º Finalista",IF(K9&gt;#REF!,J9,#REF!))</f>
        <v>1º Finalista</v>
      </c>
      <c r="Q19" s="337" t="str">
        <f>IF(L9="","1º Finalista",IF(L9&gt;L21,K9,#REF!))</f>
        <v>1º Finalista</v>
      </c>
      <c r="R19" s="337" t="str">
        <f>IF(M13="","1º Finalista",IF(M13&gt;M21,L9,L21))</f>
        <v>1º Finalista</v>
      </c>
      <c r="S19" s="4"/>
      <c r="T19" s="6"/>
      <c r="U19" s="160"/>
    </row>
    <row r="20" spans="1:25" s="5" customFormat="1" ht="23.25" customHeight="1" x14ac:dyDescent="0.2">
      <c r="A20" s="3" t="str">
        <f>CONFIGURAR!AD10</f>
        <v>E</v>
      </c>
      <c r="B20" s="40"/>
      <c r="C20" s="48"/>
      <c r="D20" s="10"/>
      <c r="E20" s="11"/>
      <c r="F20" s="11"/>
      <c r="G20" s="10"/>
      <c r="H20" s="11"/>
      <c r="I20" s="11"/>
      <c r="J20" s="10"/>
      <c r="K20" s="11"/>
      <c r="L20" s="11"/>
      <c r="S20" s="4"/>
      <c r="T20" s="6"/>
      <c r="U20" s="160"/>
    </row>
    <row r="21" spans="1:25" s="5" customFormat="1" ht="23.25" customHeight="1" x14ac:dyDescent="0.2">
      <c r="A21" s="137" t="s">
        <v>5</v>
      </c>
      <c r="B21" s="53">
        <f>IF(CONFIGURAR!$D$21=1,CONFIGURAR!AD45,IF(CONFIGURAR!$D$21=2,CONFIGURAR!AE45,IF(CONFIGURAR!$D$21=3,CONFIGURAR!AF45,IF(CONFIGURAR!$D$21=4,CONFIGURAR!AG45,IF(CONFIGURAR!$D$21=5,CONFIGURAR!AH45,IF(CONFIGURAR!$D$21=6,CONFIGURAR!AI45,""))))))</f>
        <v>0.43055555555555552</v>
      </c>
      <c r="C21" s="47"/>
      <c r="D21" s="3" t="str">
        <f>IF(B20="","Vencedor Jogo 5",IF(B20&gt;B22,A20,A22))</f>
        <v>Vencedor Jogo 5</v>
      </c>
      <c r="E21" s="40"/>
      <c r="F21" s="48"/>
      <c r="I21" s="11"/>
      <c r="L21" s="11"/>
      <c r="P21" s="54" t="s">
        <v>31</v>
      </c>
      <c r="Q21" s="48">
        <v>20</v>
      </c>
      <c r="R21" s="50">
        <v>21</v>
      </c>
      <c r="S21" s="4"/>
      <c r="T21" s="6"/>
      <c r="U21" s="160"/>
    </row>
    <row r="22" spans="1:25" s="5" customFormat="1" ht="23.25" customHeight="1" x14ac:dyDescent="0.2">
      <c r="A22" s="3" t="str">
        <f>CONFIGURAR!AD12</f>
        <v>G</v>
      </c>
      <c r="B22" s="40"/>
      <c r="C22" s="48"/>
      <c r="D22" s="137" t="s">
        <v>58</v>
      </c>
      <c r="E22" s="53">
        <f>IF(CONFIGURAR!$D$21=1,CONFIGURAR!AD50,IF(CONFIGURAR!$D$21=2,CONFIGURAR!AE50,IF(CONFIGURAR!$D$21=3,CONFIGURAR!AF50,IF(CONFIGURAR!$D$21=4,CONFIGURAR!AG50,IF(CONFIGURAR!$D$21=5,CONFIGURAR!AH50,IF(CONFIGURAR!$D$21=6,CONFIGURAR!AI50,""))))))</f>
        <v>0.44791666666666657</v>
      </c>
      <c r="F22" s="11"/>
      <c r="G22" s="3" t="str">
        <f>IF(E21="","Vencedor Jogo 10",IF(E21&gt;E24,D21,D24))</f>
        <v>Vencedor Jogo 10</v>
      </c>
      <c r="H22" s="40"/>
      <c r="I22" s="11"/>
      <c r="J22" s="10"/>
      <c r="K22" s="11"/>
      <c r="L22" s="11"/>
      <c r="M22" s="10"/>
      <c r="N22" s="11"/>
      <c r="O22" s="11"/>
      <c r="P22" s="55" t="str">
        <f>IF(K7="","1º Finalista",IF(K7&gt;K18,J7,J18))</f>
        <v>1º Finalista</v>
      </c>
      <c r="Q22" s="40"/>
      <c r="R22" s="24"/>
      <c r="S22" s="4"/>
      <c r="T22" s="6"/>
      <c r="U22" s="6"/>
    </row>
    <row r="23" spans="1:25" s="5" customFormat="1" ht="23.25" customHeight="1" x14ac:dyDescent="0.2">
      <c r="P23" s="343" t="s">
        <v>30</v>
      </c>
      <c r="Q23" s="335">
        <f>N30+CONFIGURAR!$D$19+CONFIGURAR!$D$20</f>
        <v>0.48263888888888867</v>
      </c>
      <c r="R23" s="335"/>
      <c r="S23" s="4"/>
      <c r="T23" s="7"/>
      <c r="U23" s="7"/>
      <c r="V23" s="4"/>
    </row>
    <row r="24" spans="1:25" s="5" customFormat="1" ht="23.25" customHeight="1" x14ac:dyDescent="0.2">
      <c r="A24" s="3" t="str">
        <f>CONFIGURAR!AD16</f>
        <v>K</v>
      </c>
      <c r="B24" s="3"/>
      <c r="D24" s="3" t="str">
        <f>A24</f>
        <v>K</v>
      </c>
      <c r="E24" s="40"/>
      <c r="P24" s="343"/>
      <c r="Q24" s="335"/>
      <c r="R24" s="335"/>
      <c r="S24" s="4"/>
      <c r="T24" s="7"/>
      <c r="U24" s="7"/>
      <c r="V24" s="4"/>
    </row>
    <row r="25" spans="1:25" s="5" customFormat="1" ht="23.25" customHeight="1" x14ac:dyDescent="0.2">
      <c r="S25" s="4"/>
      <c r="T25" s="7"/>
      <c r="U25" s="7"/>
      <c r="V25" s="4"/>
    </row>
    <row r="26" spans="1:25" s="5" customFormat="1" ht="23.25" customHeight="1" x14ac:dyDescent="0.2">
      <c r="A26" s="8"/>
      <c r="B26" s="9"/>
      <c r="C26" s="9"/>
      <c r="D26" s="14" t="str">
        <f>IF(E5="","Derrotado Jogo 8",IF(E5&gt;E9,D9,D5))</f>
        <v>Derrotado Jogo 8</v>
      </c>
      <c r="E26" s="21"/>
      <c r="F26" s="47"/>
      <c r="I26" s="18"/>
      <c r="L26" s="50"/>
      <c r="M26" s="10"/>
      <c r="O26" s="11"/>
      <c r="P26" s="56" t="str">
        <f>IF(N28="","2º Finalista",IF(N28&gt;N32,M28,M32))</f>
        <v>2º Finalista</v>
      </c>
      <c r="Q26" s="21"/>
      <c r="R26" s="25"/>
      <c r="S26" s="4"/>
      <c r="T26" s="7"/>
      <c r="U26" s="7"/>
      <c r="V26" s="4"/>
    </row>
    <row r="27" spans="1:25" s="5" customFormat="1" ht="23.25" customHeight="1" x14ac:dyDescent="0.2">
      <c r="A27" s="14" t="str">
        <f>IF(B4="","Derrotado do jogo 1",(IF(B4&gt;B6,A6,A4)))</f>
        <v>Derrotado do jogo 1</v>
      </c>
      <c r="B27" s="21"/>
      <c r="C27" s="50"/>
      <c r="D27" s="137" t="s">
        <v>59</v>
      </c>
      <c r="E27" s="53">
        <f>IF(CONFIGURAR!$D$21=1,CONFIGURAR!AD51,IF(CONFIGURAR!$D$21=2,CONFIGURAR!AE51,IF(CONFIGURAR!$D$21=3,CONFIGURAR!AF51,IF(CONFIGURAR!$D$21=4,CONFIGURAR!AG51,IF(CONFIGURAR!$D$21=5,CONFIGURAR!AH51,IF(CONFIGURAR!$D$21=6,CONFIGURAR!AI51+CONFIGURAR!$D$19+CONFIGURAR!$D$20,""))))))</f>
        <v>0.45138888888888878</v>
      </c>
      <c r="F27" s="36"/>
      <c r="G27" s="14" t="str">
        <f>IF(E26="","Vencedor Jogo 11",IF(E26&gt;E28,D26,D28))</f>
        <v>Vencedor Jogo 11</v>
      </c>
      <c r="H27" s="21"/>
      <c r="I27" s="11"/>
      <c r="L27" s="12"/>
      <c r="S27" s="4"/>
      <c r="T27" s="7"/>
      <c r="U27" s="7"/>
      <c r="V27" s="4"/>
    </row>
    <row r="28" spans="1:25" s="5" customFormat="1" ht="23.25" customHeight="1" x14ac:dyDescent="0.2">
      <c r="A28" s="137" t="s">
        <v>61</v>
      </c>
      <c r="B28" s="53">
        <f>IF(CONFIGURAR!$D$21=1,CONFIGURAR!AD46,IF(CONFIGURAR!$D$21=2,CONFIGURAR!AE46,IF(CONFIGURAR!$D$21=3,CONFIGURAR!AF46,IF(CONFIGURAR!$D$21=4,CONFIGURAR!AG46,IF(CONFIGURAR!$D$21=5,CONFIGURAR!AH46,IF(CONFIGURAR!$D$21=6,CONFIGURAR!AI46+CONFIGURAR!$D$19+CONFIGURAR!$D$20,""))))))</f>
        <v>0.43402777777777773</v>
      </c>
      <c r="C28" s="49"/>
      <c r="D28" s="14" t="str">
        <f>IF(B27="","Vencedor Jogo 6",IF(B27&gt;B29,A27,A29))</f>
        <v>Vencedor Jogo 6</v>
      </c>
      <c r="E28" s="21"/>
      <c r="F28" s="50"/>
      <c r="G28" s="137" t="s">
        <v>11</v>
      </c>
      <c r="H28" s="53">
        <f>IF(CONFIGURAR!$D$21=1,CONFIGURAR!AD55,IF(CONFIGURAR!$D$21=2,CONFIGURAR!AE55,IF(CONFIGURAR!$D$21=3,CONFIGURAR!AF55,IF(CONFIGURAR!$D$21=4,CONFIGURAR!AG55+CONFIGURAR!$D$19+CONFIGURAR!$D$20,IF(CONFIGURAR!$D$21=5,CONFIGURAR!AH55+CONFIGURAR!$D$19+CONFIGURAR!$D$20,IF(CONFIGURAR!$D$21=6,CONFIGURAR!AI55+CONFIGURAR!$D$19+CONFIGURAR!$D$20,""))))))</f>
        <v>0.46527777777777762</v>
      </c>
      <c r="I28" s="11"/>
      <c r="L28" s="11"/>
      <c r="M28" s="14" t="str">
        <f>IF(H27="","Vencedor Jogo 15",IF(H27&gt;H29,G27,G29))</f>
        <v>Vencedor Jogo 15</v>
      </c>
      <c r="N28" s="21"/>
      <c r="O28" s="11"/>
      <c r="P28" s="11"/>
      <c r="Q28" s="10"/>
      <c r="R28" s="11"/>
      <c r="S28" s="4"/>
      <c r="T28" s="7"/>
      <c r="U28" s="7"/>
      <c r="V28" s="4"/>
    </row>
    <row r="29" spans="1:25" s="5" customFormat="1" ht="23.25" customHeight="1" x14ac:dyDescent="0.2">
      <c r="A29" s="14" t="str">
        <f>IF(B8="","Derrotado do jogo 2",IF(B8&gt;B10,A10,A8))</f>
        <v>Derrotado do jogo 2</v>
      </c>
      <c r="B29" s="21"/>
      <c r="C29" s="50"/>
      <c r="D29" s="10"/>
      <c r="E29" s="11"/>
      <c r="F29" s="11"/>
      <c r="G29" s="14" t="str">
        <f>IF(E30="","Vencedor Jogo 12",IF(E30&gt;E32,D30,D32))</f>
        <v>Vencedor Jogo 12</v>
      </c>
      <c r="H29" s="21"/>
      <c r="I29" s="11"/>
      <c r="L29" s="11"/>
      <c r="O29" s="18"/>
      <c r="P29" s="10"/>
      <c r="Q29" s="39"/>
      <c r="R29" s="18"/>
      <c r="S29" s="4"/>
      <c r="T29" s="7"/>
      <c r="U29" s="7"/>
      <c r="V29" s="4"/>
    </row>
    <row r="30" spans="1:25" s="5" customFormat="1" ht="23.25" customHeight="1" x14ac:dyDescent="0.2">
      <c r="A30" s="8"/>
      <c r="B30" s="9"/>
      <c r="C30" s="9"/>
      <c r="D30" s="14" t="str">
        <f>IF(E13="","Derrotado Jogo 9",IF(E13&gt;E17,D17,D13))</f>
        <v>Derrotado Jogo 9</v>
      </c>
      <c r="E30" s="21"/>
      <c r="F30" s="11"/>
      <c r="I30" s="12"/>
      <c r="L30" s="41"/>
      <c r="M30" s="137" t="s">
        <v>14</v>
      </c>
      <c r="N30" s="53">
        <f>K32+CONFIGURAR!D19+CONFIGURAR!D20</f>
        <v>0.47916666666666646</v>
      </c>
      <c r="O30" s="11"/>
      <c r="R30" s="18"/>
      <c r="S30" s="4"/>
      <c r="T30" s="7"/>
      <c r="U30" s="7"/>
    </row>
    <row r="31" spans="1:25" s="5" customFormat="1" ht="23.25" customHeight="1" x14ac:dyDescent="0.2">
      <c r="A31" s="14" t="str">
        <f>IF(B12="","Derrotado do jogo 3",IF(B12&gt;B14,A14,A12))</f>
        <v>Derrotado do jogo 3</v>
      </c>
      <c r="B31" s="21"/>
      <c r="C31" s="50"/>
      <c r="D31" s="137" t="s">
        <v>60</v>
      </c>
      <c r="E31" s="53">
        <f>IF(CONFIGURAR!$D$21=1,CONFIGURAR!AD52,IF(CONFIGURAR!$D$21=2,CONFIGURAR!AE52,IF(CONFIGURAR!$D$21=3,CONFIGURAR!AF52,IF(CONFIGURAR!$D$21=4,CONFIGURAR!AG52+CONFIGURAR!$D$19+CONFIGURAR!$D$20,IF(CONFIGURAR!$D$21=5,CONFIGURAR!AH52,IF(CONFIGURAR!$D$21=6,CONFIGURAR!AI52+CONFIGURAR!$D$19+CONFIGURAR!$D$20,""))))))</f>
        <v>0.45486111111111099</v>
      </c>
      <c r="F31" s="49"/>
      <c r="I31" s="38"/>
      <c r="J31" s="14" t="str">
        <f>IF(K7="","Derrotado Jogo 17",IF(K7&gt;K18,J18,J7))</f>
        <v>Derrotado Jogo 17</v>
      </c>
      <c r="K31" s="21"/>
      <c r="L31" s="41"/>
      <c r="O31" s="11"/>
      <c r="P31" s="10"/>
      <c r="Q31" s="10"/>
      <c r="R31" s="18"/>
      <c r="S31" s="4"/>
      <c r="T31" s="7"/>
      <c r="U31" s="7"/>
    </row>
    <row r="32" spans="1:25" s="5" customFormat="1" ht="23.25" customHeight="1" x14ac:dyDescent="0.2">
      <c r="A32" s="137" t="s">
        <v>9</v>
      </c>
      <c r="B32" s="53">
        <f>IF(CONFIGURAR!$D$21=1,CONFIGURAR!AD47,IF(CONFIGURAR!$D$21=2,CONFIGURAR!AE47,IF(CONFIGURAR!$D$21=3,CONFIGURAR!AF47,IF(CONFIGURAR!$D$21=4,CONFIGURAR!AG47,IF(CONFIGURAR!$D$21=5,CONFIGURAR!AH47,IF(CONFIGURAR!$D$21=6,CONFIGURAR!AI47,""))))))</f>
        <v>0.43749999999999994</v>
      </c>
      <c r="C32" s="49"/>
      <c r="D32" s="14" t="str">
        <f>IF(B31="","Vencedor Jogo 7",IF(B31&gt;B33,A31,A33))</f>
        <v>Vencedor Jogo 7</v>
      </c>
      <c r="E32" s="21"/>
      <c r="F32" s="36"/>
      <c r="I32" s="38"/>
      <c r="J32" s="137" t="s">
        <v>13</v>
      </c>
      <c r="K32" s="53">
        <f>K12+CONFIGURAR!D19+CONFIGURAR!D20</f>
        <v>0.47569444444444425</v>
      </c>
      <c r="M32" s="14" t="str">
        <f>IF(K31="","Vencedor Jogo 18",IF(K31&gt;K33,J31,J33))</f>
        <v>Vencedor Jogo 18</v>
      </c>
      <c r="N32" s="21"/>
      <c r="O32" s="49"/>
      <c r="P32" s="51"/>
      <c r="Q32" s="51"/>
      <c r="R32" s="51"/>
      <c r="S32" s="4"/>
      <c r="T32" s="7"/>
      <c r="U32" s="7"/>
    </row>
    <row r="33" spans="1:21" s="5" customFormat="1" ht="23.25" customHeight="1" x14ac:dyDescent="0.2">
      <c r="A33" s="14" t="str">
        <f>IF(B16="","Derrotado do jogo 4",IF(B16&gt;B18,A18,A16))</f>
        <v>Derrotado do jogo 4</v>
      </c>
      <c r="B33" s="21"/>
      <c r="C33" s="50"/>
      <c r="F33" s="50"/>
      <c r="G33" s="14" t="str">
        <f>IF(H15="","Derrotado Jogo 14",IF(H15&gt;H22,G22,G15))</f>
        <v>Derrotado Jogo 14</v>
      </c>
      <c r="H33" s="21"/>
      <c r="I33" s="11"/>
      <c r="J33" s="14" t="str">
        <f>IF(H33="","Vencedor Jogo 16",IF(H33&gt;H35,G33,G35))</f>
        <v>Vencedor Jogo 16</v>
      </c>
      <c r="K33" s="21"/>
      <c r="L33" s="10"/>
      <c r="O33" s="11"/>
      <c r="P33" s="51"/>
      <c r="Q33" s="51"/>
      <c r="R33" s="51"/>
      <c r="S33" s="4"/>
      <c r="T33" s="7"/>
      <c r="U33" s="7"/>
    </row>
    <row r="34" spans="1:21" s="5" customFormat="1" ht="23.25" customHeight="1" x14ac:dyDescent="0.2">
      <c r="A34" s="8"/>
      <c r="B34" s="46"/>
      <c r="C34" s="9"/>
      <c r="D34" s="14" t="str">
        <f>IF(E21="","Derrotado Jogo 10",IF(E21&gt;E24,D24,D21))</f>
        <v>Derrotado Jogo 10</v>
      </c>
      <c r="E34" s="21"/>
      <c r="F34" s="10"/>
      <c r="G34" s="137" t="s">
        <v>12</v>
      </c>
      <c r="H34" s="53">
        <f>IF(CONFIGURAR!$D$21=1,CONFIGURAR!AD56,IF(CONFIGURAR!$D$21=2,CONFIGURAR!AE56,IF(CONFIGURAR!$D$21=3,CONFIGURAR!AF56,IF(CONFIGURAR!$D$21=4,CONFIGURAR!AG56+CONFIGURAR!$D$19+CONFIGURAR!$D$20,IF(CONFIGURAR!$D$21=5,CONFIGURAR!AH56,IF(CONFIGURAR!$D$21=6,H28,""))))))</f>
        <v>0.46874999999999983</v>
      </c>
      <c r="I34" s="50"/>
      <c r="L34" s="11"/>
      <c r="M34" s="45"/>
      <c r="N34" s="11"/>
      <c r="O34" s="11"/>
      <c r="P34" s="51"/>
      <c r="Q34" s="51"/>
      <c r="R34" s="51"/>
      <c r="S34" s="4"/>
      <c r="T34" s="7"/>
      <c r="U34" s="7"/>
    </row>
    <row r="35" spans="1:21" s="5" customFormat="1" ht="23.25" customHeight="1" x14ac:dyDescent="0.2">
      <c r="C35" s="9"/>
      <c r="D35" s="137" t="s">
        <v>10</v>
      </c>
      <c r="E35" s="53">
        <f>IF(CONFIGURAR!$D$21=1,CONFIGURAR!AD53,IF(CONFIGURAR!$D$21=2,CONFIGURAR!AE53,IF(CONFIGURAR!$D$21=3,CONFIGURAR!AF53,IF(CONFIGURAR!$D$21=4,CONFIGURAR!AG53,IF(CONFIGURAR!$D$21=5,CONFIGURAR!AH53,IF(CONFIGURAR!$D$21=6,CONFIGURAR!AI53,""))))))</f>
        <v>0.4583333333333332</v>
      </c>
      <c r="F35" s="10"/>
      <c r="G35" s="14" t="str">
        <f>IF(E34="","Vencedor Jogo 13",IF(E34&gt;E36,D34,D36))</f>
        <v>Vencedor Jogo 13</v>
      </c>
      <c r="H35" s="21"/>
      <c r="I35" s="11"/>
      <c r="J35" s="51"/>
      <c r="K35" s="51"/>
      <c r="L35" s="51"/>
      <c r="M35" s="51"/>
      <c r="N35" s="51"/>
      <c r="O35" s="51"/>
      <c r="P35" s="51"/>
      <c r="Q35" s="51"/>
      <c r="R35" s="51"/>
      <c r="S35" s="4"/>
      <c r="T35" s="7"/>
      <c r="U35" s="7"/>
    </row>
    <row r="36" spans="1:21" s="5" customFormat="1" ht="23.25" customHeight="1" x14ac:dyDescent="0.2">
      <c r="A36" s="14" t="str">
        <f>IF(B20="","Derrotado do jogo 5",IF(B20&gt;B22,A22,A20))</f>
        <v>Derrotado do jogo 5</v>
      </c>
      <c r="B36" s="14"/>
      <c r="C36" s="9"/>
      <c r="D36" s="14" t="str">
        <f>A36</f>
        <v>Derrotado do jogo 5</v>
      </c>
      <c r="E36" s="21"/>
      <c r="F36" s="10"/>
      <c r="I36" s="11"/>
      <c r="J36" s="332" t="s">
        <v>63</v>
      </c>
      <c r="K36" s="332"/>
      <c r="L36" s="332"/>
      <c r="M36" s="332"/>
      <c r="N36" s="332"/>
      <c r="O36" s="332"/>
      <c r="P36" s="332"/>
      <c r="Q36" s="332"/>
      <c r="R36" s="332"/>
      <c r="S36" s="4"/>
      <c r="T36" s="7"/>
      <c r="U36" s="7"/>
    </row>
    <row r="37" spans="1:21" s="5" customFormat="1" ht="23.25" customHeight="1" x14ac:dyDescent="0.2">
      <c r="C37" s="50"/>
      <c r="D37" s="52"/>
      <c r="E37" s="36"/>
      <c r="F37" s="36"/>
      <c r="I37" s="26"/>
      <c r="J37" s="332"/>
      <c r="K37" s="332"/>
      <c r="L37" s="332"/>
      <c r="M37" s="332"/>
      <c r="N37" s="332"/>
      <c r="O37" s="332"/>
      <c r="P37" s="332"/>
      <c r="Q37" s="332"/>
      <c r="R37" s="332"/>
      <c r="S37" s="4"/>
      <c r="T37" s="7"/>
      <c r="U37" s="7"/>
    </row>
    <row r="38" spans="1:21" s="5" customFormat="1" ht="23.25" customHeight="1" x14ac:dyDescent="0.2">
      <c r="A38" s="26" t="s">
        <v>18</v>
      </c>
      <c r="B38" s="26"/>
      <c r="C38" s="26"/>
      <c r="D38" s="26" t="s">
        <v>19</v>
      </c>
      <c r="E38" s="26"/>
      <c r="F38" s="26"/>
      <c r="G38" s="26" t="s">
        <v>20</v>
      </c>
      <c r="H38" s="26"/>
      <c r="I38" s="30"/>
      <c r="J38" s="26" t="s">
        <v>21</v>
      </c>
      <c r="K38" s="26"/>
      <c r="L38" s="26"/>
      <c r="M38" s="26" t="s">
        <v>22</v>
      </c>
      <c r="N38" s="30"/>
      <c r="O38" s="26"/>
      <c r="P38" s="26" t="s">
        <v>23</v>
      </c>
      <c r="Q38" s="15"/>
      <c r="R38" s="15"/>
      <c r="S38" s="4"/>
      <c r="T38" s="7"/>
      <c r="U38" s="7"/>
    </row>
    <row r="39" spans="1:21" s="5" customFormat="1" ht="15.75" customHeight="1" x14ac:dyDescent="0.2">
      <c r="A39" s="28"/>
      <c r="B39" s="23"/>
      <c r="C39" s="23"/>
      <c r="D39" s="29"/>
      <c r="E39" s="30"/>
      <c r="F39" s="30"/>
      <c r="G39" s="29"/>
      <c r="H39" s="30"/>
      <c r="I39" s="30"/>
      <c r="J39" s="29"/>
      <c r="K39" s="30"/>
      <c r="L39" s="30"/>
      <c r="M39" s="29"/>
      <c r="N39" s="30"/>
      <c r="O39" s="30"/>
      <c r="P39" s="29"/>
      <c r="Q39" s="29"/>
      <c r="R39" s="30"/>
    </row>
    <row r="40" spans="1:21" s="17" customFormat="1" ht="15.75" customHeight="1" x14ac:dyDescent="0.2">
      <c r="A40" s="28"/>
      <c r="B40" s="23"/>
      <c r="C40" s="23"/>
      <c r="D40" s="29"/>
      <c r="E40" s="30"/>
      <c r="F40" s="30"/>
      <c r="G40" s="29"/>
      <c r="H40" s="30"/>
      <c r="I40" s="30"/>
      <c r="J40" s="29"/>
      <c r="K40" s="30"/>
      <c r="L40" s="30"/>
      <c r="M40" s="29"/>
      <c r="N40" s="30"/>
      <c r="O40" s="30"/>
      <c r="P40" s="29"/>
      <c r="Q40" s="29"/>
      <c r="R40" s="30"/>
    </row>
    <row r="41" spans="1:21" s="17" customFormat="1" ht="15.75" customHeight="1" x14ac:dyDescent="0.2">
      <c r="A41" s="28"/>
      <c r="B41" s="23"/>
      <c r="C41" s="23"/>
      <c r="D41" s="29"/>
      <c r="E41" s="30"/>
      <c r="F41" s="30"/>
      <c r="G41" s="29"/>
      <c r="H41" s="30"/>
      <c r="I41" s="30"/>
      <c r="J41" s="29"/>
      <c r="K41" s="30"/>
      <c r="L41" s="30"/>
      <c r="M41" s="29"/>
      <c r="N41" s="30"/>
      <c r="O41" s="30"/>
      <c r="P41" s="29"/>
      <c r="Q41" s="29"/>
      <c r="R41" s="30"/>
      <c r="S41" s="16"/>
    </row>
  </sheetData>
  <mergeCells count="12">
    <mergeCell ref="J36:R37"/>
    <mergeCell ref="J3:R4"/>
    <mergeCell ref="O11:R13"/>
    <mergeCell ref="Q23:R24"/>
    <mergeCell ref="O15:R16"/>
    <mergeCell ref="O18:R19"/>
    <mergeCell ref="M6:R7"/>
    <mergeCell ref="M5:O5"/>
    <mergeCell ref="Q5:R5"/>
    <mergeCell ref="P8:R9"/>
    <mergeCell ref="M8:O9"/>
    <mergeCell ref="P23:P24"/>
  </mergeCells>
  <phoneticPr fontId="0" type="noConversion"/>
  <conditionalFormatting sqref="A4 A6 A8 A10 A12 A14 A16 A18 A20 A22 D5 D9 D13 D17 G15 D21 J7 J18 D24 G22">
    <cfRule type="expression" dxfId="61" priority="1" stopIfTrue="1">
      <formula>B4&lt;&gt;""</formula>
    </cfRule>
  </conditionalFormatting>
  <conditionalFormatting sqref="B5 B9 B13 B17 B21 B28 B32 E27 E31 E35 H28 H34 K32">
    <cfRule type="expression" dxfId="60" priority="2" stopIfTrue="1">
      <formula>B4&lt;&gt;""</formula>
    </cfRule>
  </conditionalFormatting>
  <conditionalFormatting sqref="A5 A9 A13 A17 A21 A28 A32 D27 G28 D31 D35 G34">
    <cfRule type="expression" dxfId="59" priority="3" stopIfTrue="1">
      <formula>B4&lt;&gt;""</formula>
    </cfRule>
  </conditionalFormatting>
  <conditionalFormatting sqref="D7 D15">
    <cfRule type="expression" dxfId="58" priority="4" stopIfTrue="1">
      <formula>E5&lt;&gt;""</formula>
    </cfRule>
  </conditionalFormatting>
  <conditionalFormatting sqref="E7 E15 N30">
    <cfRule type="expression" dxfId="57" priority="5" stopIfTrue="1">
      <formula>E5&lt;&gt;""</formula>
    </cfRule>
  </conditionalFormatting>
  <conditionalFormatting sqref="G18">
    <cfRule type="expression" dxfId="56" priority="6" stopIfTrue="1">
      <formula>H15&lt;&gt;""</formula>
    </cfRule>
  </conditionalFormatting>
  <conditionalFormatting sqref="J12">
    <cfRule type="expression" dxfId="55" priority="7" stopIfTrue="1">
      <formula>K7&lt;&gt;""</formula>
    </cfRule>
  </conditionalFormatting>
  <conditionalFormatting sqref="A27 A29 A31 A33 D26 D28 D30 D32 D34 D36 G27 G33 G29 G35 J31 J33 M28 M32">
    <cfRule type="expression" dxfId="54" priority="8" stopIfTrue="1">
      <formula>B26&lt;&gt;""</formula>
    </cfRule>
  </conditionalFormatting>
  <conditionalFormatting sqref="A24">
    <cfRule type="expression" dxfId="53" priority="9" stopIfTrue="1">
      <formula>E24&lt;&gt;""</formula>
    </cfRule>
  </conditionalFormatting>
  <conditionalFormatting sqref="B24">
    <cfRule type="expression" dxfId="52" priority="10" stopIfTrue="1">
      <formula>E24&lt;&gt;""</formula>
    </cfRule>
  </conditionalFormatting>
  <conditionalFormatting sqref="A36">
    <cfRule type="expression" dxfId="51" priority="11" stopIfTrue="1">
      <formula>E36&lt;&gt;""</formula>
    </cfRule>
  </conditionalFormatting>
  <conditionalFormatting sqref="B36">
    <cfRule type="expression" dxfId="50" priority="12" stopIfTrue="1">
      <formula>E36&lt;&gt;""</formula>
    </cfRule>
  </conditionalFormatting>
  <conditionalFormatting sqref="E22">
    <cfRule type="expression" dxfId="49" priority="13" stopIfTrue="1">
      <formula>E26&lt;&gt;""</formula>
    </cfRule>
  </conditionalFormatting>
  <conditionalFormatting sqref="H18">
    <cfRule type="expression" dxfId="48" priority="14" stopIfTrue="1">
      <formula>H33&lt;&gt;""</formula>
    </cfRule>
  </conditionalFormatting>
  <conditionalFormatting sqref="J32">
    <cfRule type="expression" dxfId="47" priority="15" stopIfTrue="1">
      <formula>N28&lt;&gt;""</formula>
    </cfRule>
  </conditionalFormatting>
  <conditionalFormatting sqref="M30">
    <cfRule type="expression" dxfId="46" priority="16" stopIfTrue="1">
      <formula>N32&lt;&gt;""</formula>
    </cfRule>
  </conditionalFormatting>
  <conditionalFormatting sqref="K12">
    <cfRule type="expression" dxfId="45" priority="17" stopIfTrue="1">
      <formula>N32&lt;&gt;""</formula>
    </cfRule>
  </conditionalFormatting>
  <conditionalFormatting sqref="R21">
    <cfRule type="expression" dxfId="44" priority="18" stopIfTrue="1">
      <formula>$Q$22&lt;$Q$26</formula>
    </cfRule>
  </conditionalFormatting>
  <conditionalFormatting sqref="K33 K31 H29 H33 B27 B29 B31 B33 N28 N32 E26 E28 E30 E32 E34 E36 H27 H35">
    <cfRule type="cellIs" dxfId="43" priority="19" stopIfTrue="1" operator="notEqual">
      <formula>""</formula>
    </cfRule>
  </conditionalFormatting>
  <conditionalFormatting sqref="E9 E13 B10 B12 B8 B16 B20 H15 E17 B22 E21 B14 B18 E24 B6 B4 K18 K7 E5 H22">
    <cfRule type="cellIs" dxfId="42" priority="20" stopIfTrue="1" operator="notEqual">
      <formula>""</formula>
    </cfRule>
  </conditionalFormatting>
  <conditionalFormatting sqref="X10 U5:U21 W5:AD8 Y9:AD10 T6:T8">
    <cfRule type="expression" dxfId="41" priority="21" stopIfTrue="1">
      <formula>$W$2=1</formula>
    </cfRule>
    <cfRule type="expression" dxfId="40" priority="22" stopIfTrue="1">
      <formula>$W$2=2</formula>
    </cfRule>
  </conditionalFormatting>
  <conditionalFormatting sqref="M8 M6">
    <cfRule type="expression" dxfId="39" priority="23" stopIfTrue="1">
      <formula>$R$2=1</formula>
    </cfRule>
    <cfRule type="expression" dxfId="38" priority="24" stopIfTrue="1">
      <formula>$R$2=2</formula>
    </cfRule>
  </conditionalFormatting>
  <conditionalFormatting sqref="P8">
    <cfRule type="expression" dxfId="37" priority="25" stopIfTrue="1">
      <formula>$R$2=1</formula>
    </cfRule>
    <cfRule type="expression" dxfId="36" priority="26" stopIfTrue="1">
      <formula>$R$2=2</formula>
    </cfRule>
  </conditionalFormatting>
  <conditionalFormatting sqref="P22">
    <cfRule type="expression" dxfId="35" priority="27" stopIfTrue="1">
      <formula>$K$18=""</formula>
    </cfRule>
  </conditionalFormatting>
  <conditionalFormatting sqref="R22">
    <cfRule type="expression" dxfId="34" priority="28" stopIfTrue="1">
      <formula>$Q$22&lt;$Q$26</formula>
    </cfRule>
    <cfRule type="expression" dxfId="33" priority="29" stopIfTrue="1">
      <formula>$Q$22&gt;$Q$26</formula>
    </cfRule>
  </conditionalFormatting>
  <conditionalFormatting sqref="S18:T18 W18:Y18">
    <cfRule type="expression" dxfId="32" priority="30" stopIfTrue="1">
      <formula>$W$2=1</formula>
    </cfRule>
  </conditionalFormatting>
  <conditionalFormatting sqref="Y11:AD12 X12">
    <cfRule type="expression" dxfId="31" priority="31" stopIfTrue="1">
      <formula>$W$2=1</formula>
    </cfRule>
    <cfRule type="expression" dxfId="30" priority="32" stopIfTrue="1">
      <formula>$W$2=2</formula>
    </cfRule>
  </conditionalFormatting>
  <conditionalFormatting sqref="R26">
    <cfRule type="expression" dxfId="29" priority="33" stopIfTrue="1">
      <formula>Q22&lt;Q26</formula>
    </cfRule>
  </conditionalFormatting>
  <conditionalFormatting sqref="D22">
    <cfRule type="expression" dxfId="28" priority="34" stopIfTrue="1">
      <formula>E21&lt;&gt;""</formula>
    </cfRule>
  </conditionalFormatting>
  <printOptions horizontalCentered="1" verticalCentered="1"/>
  <pageMargins left="0.75" right="0.75" top="0" bottom="0" header="0" footer="0"/>
  <pageSetup paperSize="8" scale="66"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6"/>
  <dimension ref="A2:AD37"/>
  <sheetViews>
    <sheetView topLeftCell="A4" zoomScale="75" zoomScaleNormal="100" zoomScaleSheetLayoutView="75" workbookViewId="0">
      <selection activeCell="E15" sqref="E15"/>
    </sheetView>
  </sheetViews>
  <sheetFormatPr defaultRowHeight="12.75" x14ac:dyDescent="0.2"/>
  <cols>
    <col min="1" max="1" width="20" style="28" customWidth="1"/>
    <col min="2" max="2" width="5.625" style="23" customWidth="1"/>
    <col min="3" max="3" width="6.25" style="23" customWidth="1"/>
    <col min="4" max="4" width="20" style="29" customWidth="1"/>
    <col min="5" max="5" width="5.625" style="30" customWidth="1"/>
    <col min="6" max="6" width="6.25" style="30" customWidth="1"/>
    <col min="7" max="7" width="20" style="29" customWidth="1"/>
    <col min="8" max="8" width="5.625" style="30" customWidth="1"/>
    <col min="9" max="9" width="6.25" style="30" customWidth="1"/>
    <col min="10" max="10" width="20" style="29" customWidth="1"/>
    <col min="11" max="11" width="5.625" style="30" customWidth="1"/>
    <col min="12" max="12" width="6.25" style="30" customWidth="1"/>
    <col min="13" max="13" width="20" style="29" customWidth="1"/>
    <col min="14" max="14" width="5.625" style="30" customWidth="1"/>
    <col min="15" max="15" width="6.25" style="30" customWidth="1"/>
    <col min="16" max="16" width="20" style="29" customWidth="1"/>
    <col min="17" max="17" width="4.375" style="29" customWidth="1"/>
    <col min="18" max="18" width="4.375" style="30" customWidth="1"/>
    <col min="19" max="19" width="25.25" style="1" customWidth="1"/>
    <col min="20" max="21" width="4.375" style="2" customWidth="1"/>
    <col min="22" max="22" width="6.375" style="1" bestFit="1" customWidth="1"/>
    <col min="23" max="37" width="5" style="1" customWidth="1"/>
    <col min="38" max="16384" width="9" style="1"/>
  </cols>
  <sheetData>
    <row r="2" spans="1:30" s="19" customFormat="1" ht="15" customHeight="1" x14ac:dyDescent="0.2">
      <c r="A2" s="22" t="s">
        <v>18</v>
      </c>
      <c r="B2" s="22"/>
      <c r="C2" s="22"/>
      <c r="D2" s="22" t="s">
        <v>19</v>
      </c>
      <c r="E2" s="22"/>
      <c r="F2" s="22"/>
      <c r="G2" s="22" t="s">
        <v>20</v>
      </c>
      <c r="H2" s="22"/>
      <c r="I2" s="22"/>
      <c r="J2" s="22" t="s">
        <v>21</v>
      </c>
      <c r="K2" s="22"/>
      <c r="L2" s="22"/>
      <c r="M2" s="22" t="s">
        <v>22</v>
      </c>
      <c r="N2" s="22"/>
      <c r="O2" s="22"/>
      <c r="P2" s="22" t="s">
        <v>23</v>
      </c>
      <c r="Q2" s="27"/>
      <c r="R2" s="58">
        <f>CONFIGURAR!B14</f>
        <v>2</v>
      </c>
      <c r="T2" s="20"/>
      <c r="U2" s="20"/>
    </row>
    <row r="3" spans="1:30" ht="26.25" customHeight="1" x14ac:dyDescent="0.2">
      <c r="J3" s="333" t="s">
        <v>62</v>
      </c>
      <c r="K3" s="332"/>
      <c r="L3" s="332"/>
      <c r="M3" s="332"/>
      <c r="N3" s="332"/>
      <c r="O3" s="332"/>
      <c r="P3" s="332"/>
      <c r="Q3" s="332"/>
      <c r="R3" s="332"/>
    </row>
    <row r="4" spans="1:30" s="5" customFormat="1" ht="23.25" customHeight="1" x14ac:dyDescent="0.2">
      <c r="A4" s="3" t="str">
        <f>CONFIGURAR!AD13</f>
        <v>H</v>
      </c>
      <c r="B4" s="40"/>
      <c r="C4" s="48"/>
      <c r="D4" s="10"/>
      <c r="E4" s="11"/>
      <c r="F4" s="11"/>
      <c r="G4" s="10"/>
      <c r="H4" s="11"/>
      <c r="I4" s="11"/>
      <c r="J4" s="332"/>
      <c r="K4" s="332"/>
      <c r="L4" s="332"/>
      <c r="M4" s="332"/>
      <c r="N4" s="332"/>
      <c r="O4" s="332"/>
      <c r="P4" s="332"/>
      <c r="Q4" s="332"/>
      <c r="R4" s="332"/>
      <c r="U4" s="139"/>
      <c r="V4" s="139"/>
      <c r="W4" s="139"/>
      <c r="X4" s="139"/>
      <c r="Y4" s="139"/>
      <c r="Z4" s="139"/>
      <c r="AA4" s="139"/>
      <c r="AD4" s="140"/>
    </row>
    <row r="5" spans="1:30" s="5" customFormat="1" ht="23.25" customHeight="1" x14ac:dyDescent="0.2">
      <c r="A5" s="137" t="s">
        <v>0</v>
      </c>
      <c r="B5" s="53">
        <f>CONFIGURAR!$D$18</f>
        <v>0.41666666666666669</v>
      </c>
      <c r="C5" s="47"/>
      <c r="D5" s="3" t="str">
        <f>IF(B4="","Vencedor Jogo 1",IF(B4&gt;B6,A4,A6))</f>
        <v>Vencedor Jogo 1</v>
      </c>
      <c r="E5" s="40"/>
      <c r="F5" s="18"/>
      <c r="G5" s="13"/>
      <c r="H5" s="48"/>
      <c r="I5" s="48"/>
      <c r="J5" s="10"/>
      <c r="K5" s="11"/>
      <c r="L5" s="11"/>
      <c r="M5" s="339" t="str">
        <f>IF(CONFIGURAR!$D$11="","",CONFIGURAR!$D$11)</f>
        <v>Xxx Xxxxxxxxxxx</v>
      </c>
      <c r="N5" s="339"/>
      <c r="O5" s="339"/>
      <c r="P5" s="296">
        <f>IF(CONFIGURAR!$G$10="","",CONFIGURAR!$G$10)</f>
        <v>43523</v>
      </c>
      <c r="Q5" s="340">
        <f>IF(CONFIGURAR!$D$10="","",CONFIGURAR!$D$10)</f>
        <v>0.41666666666666669</v>
      </c>
      <c r="R5" s="340"/>
      <c r="U5" s="160"/>
      <c r="W5" s="138"/>
      <c r="X5" s="138"/>
      <c r="Y5" s="138"/>
      <c r="Z5" s="138"/>
      <c r="AA5" s="138"/>
      <c r="AB5" s="138"/>
      <c r="AC5" s="138"/>
      <c r="AD5" s="138"/>
    </row>
    <row r="6" spans="1:30" s="5" customFormat="1" ht="23.25" customHeight="1" x14ac:dyDescent="0.2">
      <c r="A6" s="3" t="str">
        <f>CONFIGURAR!AD7</f>
        <v>B</v>
      </c>
      <c r="B6" s="40"/>
      <c r="C6" s="48"/>
      <c r="D6" s="10"/>
      <c r="E6" s="11"/>
      <c r="F6" s="11"/>
      <c r="G6" s="10"/>
      <c r="H6" s="11"/>
      <c r="I6" s="11"/>
      <c r="J6" s="10"/>
      <c r="K6" s="11"/>
      <c r="L6" s="11"/>
      <c r="M6" s="338" t="str">
        <f>CONFIGURAR!$D$9</f>
        <v>Xxxxxxx Xxxxxxxxxxxxx</v>
      </c>
      <c r="N6" s="338"/>
      <c r="O6" s="338"/>
      <c r="P6" s="338"/>
      <c r="Q6" s="338"/>
      <c r="R6" s="338"/>
      <c r="T6" s="138"/>
      <c r="U6" s="160"/>
      <c r="W6" s="138"/>
      <c r="X6" s="138"/>
      <c r="Y6" s="138"/>
      <c r="Z6" s="138"/>
      <c r="AA6" s="138"/>
      <c r="AB6" s="138"/>
      <c r="AC6" s="138"/>
      <c r="AD6" s="138"/>
    </row>
    <row r="7" spans="1:30" s="5" customFormat="1" ht="23.25" customHeight="1" x14ac:dyDescent="0.2">
      <c r="A7" s="8"/>
      <c r="B7" s="9"/>
      <c r="C7" s="9"/>
      <c r="D7" s="137" t="s">
        <v>27</v>
      </c>
      <c r="E7" s="53">
        <f>IF(CONFIGURAR!$D$21=1,CONFIGURAR!AD48,IF(CONFIGURAR!$D$21=2,CONFIGURAR!AE48,IF(CONFIGURAR!$D$21=3,CONFIGURAR!AF48,IF(CONFIGURAR!$D$21=4,CONFIGURAR!AG48,IF(CONFIGURAR!$D$21=5,CONFIGURAR!AH48,IF(CONFIGURAR!$D$21=6,CONFIGURAR!AI48,""))))))</f>
        <v>0.44097222222222215</v>
      </c>
      <c r="F7" s="12"/>
      <c r="I7" s="18"/>
      <c r="J7" s="3" t="str">
        <f>IF(E5="","Vencedor Jogo 8",IF(E5&gt;E9,D5,D9))</f>
        <v>Vencedor Jogo 8</v>
      </c>
      <c r="K7" s="40"/>
      <c r="L7" s="11"/>
      <c r="M7" s="338"/>
      <c r="N7" s="338"/>
      <c r="O7" s="338"/>
      <c r="P7" s="338"/>
      <c r="Q7" s="338"/>
      <c r="R7" s="338"/>
      <c r="T7" s="138"/>
      <c r="U7" s="160"/>
      <c r="W7" s="138"/>
      <c r="X7" s="138"/>
      <c r="Y7" s="138"/>
      <c r="Z7" s="138"/>
      <c r="AA7" s="138"/>
      <c r="AB7" s="138"/>
      <c r="AC7" s="138"/>
      <c r="AD7" s="138"/>
    </row>
    <row r="8" spans="1:30" s="5" customFormat="1" ht="23.25" customHeight="1" x14ac:dyDescent="0.2">
      <c r="A8" s="3" t="str">
        <f>CONFIGURAR!AD11</f>
        <v>F</v>
      </c>
      <c r="B8" s="40"/>
      <c r="C8" s="48"/>
      <c r="D8" s="10"/>
      <c r="E8" s="11"/>
      <c r="F8" s="11"/>
      <c r="I8" s="47"/>
      <c r="M8" s="342" t="str">
        <f>UPPER(CONFIGURAR!$D$12)</f>
        <v>XXXXXXXX</v>
      </c>
      <c r="N8" s="342"/>
      <c r="O8" s="342"/>
      <c r="P8" s="341" t="str">
        <f>IF(R2=1,"FEMININO",IF(R2=2,"MASCULINO",IF(R2=3,"MISTO","")))</f>
        <v>MASCULINO</v>
      </c>
      <c r="Q8" s="341"/>
      <c r="R8" s="341"/>
      <c r="T8" s="138"/>
      <c r="U8" s="160"/>
      <c r="W8" s="138"/>
      <c r="X8" s="138"/>
      <c r="Y8" s="138"/>
      <c r="Z8" s="138"/>
      <c r="AA8" s="138"/>
      <c r="AB8" s="138"/>
      <c r="AC8" s="138"/>
      <c r="AD8" s="138"/>
    </row>
    <row r="9" spans="1:30" s="5" customFormat="1" ht="23.25" customHeight="1" x14ac:dyDescent="0.2">
      <c r="A9" s="137" t="s">
        <v>1</v>
      </c>
      <c r="B9" s="53">
        <f>IF(CONFIGURAR!$D$21=1,CONFIGURAR!AD42,IF(CONFIGURAR!$D$21=2,CONFIGURAR!AE42,IF(CONFIGURAR!$D$21=3,CONFIGURAR!AF42,IF(CONFIGURAR!$D$21=4,CONFIGURAR!AG42,IF(CONFIGURAR!$D$21=5,CONFIGURAR!AH42,IF(CONFIGURAR!$D$21=6,CONFIGURAR!AI42,""))))))</f>
        <v>0.4201388888888889</v>
      </c>
      <c r="C9" s="47"/>
      <c r="D9" s="3" t="str">
        <f>IF(B8="","Vencedor Jogo 2",IF(B8&gt;B10,A8,A10))</f>
        <v>Vencedor Jogo 2</v>
      </c>
      <c r="E9" s="40"/>
      <c r="F9" s="48"/>
      <c r="G9" s="10"/>
      <c r="H9" s="11"/>
      <c r="I9" s="11"/>
      <c r="J9" s="10"/>
      <c r="K9" s="11"/>
      <c r="L9" s="11"/>
      <c r="M9" s="342"/>
      <c r="N9" s="342"/>
      <c r="O9" s="342"/>
      <c r="P9" s="341"/>
      <c r="Q9" s="341"/>
      <c r="R9" s="341"/>
      <c r="T9" s="32"/>
      <c r="U9" s="160"/>
      <c r="W9" s="32"/>
      <c r="Y9" s="141"/>
      <c r="Z9" s="141"/>
      <c r="AA9" s="141"/>
      <c r="AB9" s="141"/>
      <c r="AC9" s="141"/>
      <c r="AD9" s="141"/>
    </row>
    <row r="10" spans="1:30" s="5" customFormat="1" ht="23.25" customHeight="1" x14ac:dyDescent="0.2">
      <c r="A10" s="3" t="str">
        <f>CONFIGURAR!AD15</f>
        <v>J</v>
      </c>
      <c r="B10" s="40"/>
      <c r="C10" s="48"/>
      <c r="D10" s="10"/>
      <c r="E10" s="11"/>
      <c r="F10" s="11"/>
      <c r="G10" s="10"/>
      <c r="H10" s="11"/>
      <c r="I10" s="11"/>
      <c r="J10" s="10"/>
      <c r="K10" s="11"/>
      <c r="L10" s="11"/>
      <c r="T10" s="10"/>
      <c r="U10" s="160"/>
      <c r="W10" s="10"/>
      <c r="X10" s="141"/>
      <c r="Y10" s="141"/>
      <c r="Z10" s="141"/>
      <c r="AA10" s="141"/>
      <c r="AB10" s="141"/>
      <c r="AC10" s="141"/>
      <c r="AD10" s="141"/>
    </row>
    <row r="11" spans="1:30" s="5" customFormat="1" ht="23.25" customHeight="1" x14ac:dyDescent="0.2">
      <c r="A11" s="8"/>
      <c r="B11" s="9"/>
      <c r="C11" s="9"/>
      <c r="F11" s="47"/>
      <c r="I11" s="48"/>
      <c r="L11" s="48"/>
      <c r="M11" s="10"/>
      <c r="N11" s="10"/>
      <c r="O11" s="334" t="str">
        <f>IF(R22&lt;R26,P26,IF(R22&gt;R26,P22,(IF(Q22="","Vencedor da Final",IF(Q22&gt;Q26,P22,IF(Q22&lt;Q26,"Vencedor Finalíssima",P22))))))</f>
        <v>Vencedor da Final</v>
      </c>
      <c r="P11" s="334"/>
      <c r="Q11" s="334"/>
      <c r="R11" s="334"/>
      <c r="T11" s="10"/>
      <c r="U11" s="160"/>
      <c r="W11" s="10"/>
      <c r="Y11" s="142"/>
      <c r="Z11" s="142"/>
      <c r="AA11" s="142"/>
      <c r="AB11" s="142"/>
      <c r="AC11" s="142"/>
      <c r="AD11" s="142"/>
    </row>
    <row r="12" spans="1:30" s="5" customFormat="1" ht="23.25" customHeight="1" x14ac:dyDescent="0.2">
      <c r="A12" s="3" t="str">
        <f>CONFIGURAR!AD6</f>
        <v>A</v>
      </c>
      <c r="B12" s="40"/>
      <c r="C12" s="48"/>
      <c r="D12" s="10"/>
      <c r="E12" s="11"/>
      <c r="F12" s="11"/>
      <c r="G12" s="10"/>
      <c r="H12" s="11"/>
      <c r="I12" s="11"/>
      <c r="J12" s="137" t="s">
        <v>11</v>
      </c>
      <c r="K12" s="53">
        <f>IF(CONFIGURAR!$D$21=1,CONFIGURAR!AD55,IF(CONFIGURAR!$D$21=2,CONFIGURAR!AE55,IF(CONFIGURAR!$D$21=3,CONFIGURAR!AF55,IF(CONFIGURAR!$D$21=4,CONFIGURAR!AG55+CONFIGURAR!$D$19+CONFIGURAR!$D$20,IF(CONFIGURAR!$D$21=5,CONFIGURAR!AH55+CONFIGURAR!$D$19+CONFIGURAR!$D$20,IF(CONFIGURAR!$D$21=6,CONFIGURAR!AI55+CONFIGURAR!$D$19+CONFIGURAR!$D$20,""))))))</f>
        <v>0.46527777777777762</v>
      </c>
      <c r="L12" s="11"/>
      <c r="M12" s="10"/>
      <c r="N12" s="10"/>
      <c r="O12" s="334"/>
      <c r="P12" s="334"/>
      <c r="Q12" s="334"/>
      <c r="R12" s="334"/>
      <c r="T12" s="10"/>
      <c r="U12" s="160"/>
      <c r="W12" s="10"/>
      <c r="X12" s="142"/>
      <c r="Y12" s="142"/>
      <c r="Z12" s="142"/>
      <c r="AA12" s="142"/>
      <c r="AB12" s="142"/>
      <c r="AC12" s="142"/>
      <c r="AD12" s="142"/>
    </row>
    <row r="13" spans="1:30" s="5" customFormat="1" ht="23.25" customHeight="1" x14ac:dyDescent="0.2">
      <c r="A13" s="137" t="s">
        <v>4</v>
      </c>
      <c r="B13" s="53">
        <f>IF(CONFIGURAR!$D$21=1,CONFIGURAR!AD43,IF(CONFIGURAR!$D$21=2,CONFIGURAR!AE43,IF(CONFIGURAR!$D$21=3,CONFIGURAR!AF43,IF(CONFIGURAR!$D$21=4,CONFIGURAR!AG43,IF(CONFIGURAR!$D$21=5,CONFIGURAR!AH43,IF(CONFIGURAR!$D$21=6,CONFIGURAR!AI43,""))))))</f>
        <v>0.4236111111111111</v>
      </c>
      <c r="C13" s="47"/>
      <c r="D13" s="3" t="str">
        <f>IF(B12="","Vencedor Jogo 3",IF(B12&gt;B14,A12,A14))</f>
        <v>Vencedor Jogo 3</v>
      </c>
      <c r="E13" s="40"/>
      <c r="F13" s="48"/>
      <c r="G13" s="10"/>
      <c r="H13" s="11"/>
      <c r="I13" s="11"/>
      <c r="J13" s="33"/>
      <c r="K13" s="11"/>
      <c r="L13" s="11"/>
      <c r="M13" s="32"/>
      <c r="O13" s="334"/>
      <c r="P13" s="334"/>
      <c r="Q13" s="334"/>
      <c r="R13" s="334"/>
      <c r="U13" s="160"/>
    </row>
    <row r="14" spans="1:30" s="5" customFormat="1" ht="23.25" customHeight="1" x14ac:dyDescent="0.2">
      <c r="A14" s="3" t="str">
        <f>CONFIGURAR!AD9</f>
        <v>D</v>
      </c>
      <c r="B14" s="40"/>
      <c r="C14" s="48"/>
      <c r="D14" s="10"/>
      <c r="E14" s="11"/>
      <c r="F14" s="11"/>
      <c r="G14" s="10"/>
      <c r="H14" s="11"/>
      <c r="I14" s="11"/>
      <c r="J14" s="10"/>
      <c r="K14" s="11"/>
      <c r="L14" s="11"/>
      <c r="M14" s="32"/>
      <c r="O14" s="42"/>
      <c r="P14" s="42"/>
      <c r="Q14" s="42"/>
      <c r="R14" s="42"/>
      <c r="U14" s="160"/>
    </row>
    <row r="15" spans="1:30" s="5" customFormat="1" ht="23.25" customHeight="1" x14ac:dyDescent="0.2">
      <c r="A15" s="8"/>
      <c r="B15" s="9"/>
      <c r="C15" s="9"/>
      <c r="D15" s="137" t="s">
        <v>28</v>
      </c>
      <c r="E15" s="53">
        <f>IF(CONFIGURAR!$D$21=1,CONFIGURAR!AD49,IF(CONFIGURAR!$D$21=2,CONFIGURAR!AE49,IF(CONFIGURAR!$D$21=3,CONFIGURAR!AF49,IF(CONFIGURAR!$D$21=4,CONFIGURAR!AG49,IF(CONFIGURAR!$D$21=5,CONFIGURAR!AH49,IF(CONFIGURAR!$D$21=6,CONFIGURAR!AI49,""))))))</f>
        <v>0.44444444444444436</v>
      </c>
      <c r="F15" s="12"/>
      <c r="G15" s="3" t="str">
        <f>IF(E13="","Vencedor Jogo 9",IF(E13&gt;E17,D13,D17))</f>
        <v>Vencedor Jogo 9</v>
      </c>
      <c r="H15" s="40"/>
      <c r="I15" s="18"/>
      <c r="L15" s="47"/>
      <c r="M15" s="10"/>
      <c r="N15" s="11"/>
      <c r="O15" s="336" t="str">
        <f>IF(R22&lt;R26,P22,IF(R22&gt;R26,P26,IF(Q22="","Derrotado da Final",IF(Q22&lt;Q26,"Derrotado Finalíssima",IF(Q22&lt;Q26,P22,P26)))))</f>
        <v>Derrotado da Final</v>
      </c>
      <c r="P15" s="336"/>
      <c r="Q15" s="336"/>
      <c r="R15" s="336"/>
      <c r="U15" s="160"/>
    </row>
    <row r="16" spans="1:30" s="5" customFormat="1" ht="23.25" customHeight="1" x14ac:dyDescent="0.2">
      <c r="A16" s="3" t="str">
        <f>CONFIGURAR!AD8</f>
        <v>C</v>
      </c>
      <c r="B16" s="40"/>
      <c r="C16" s="48"/>
      <c r="D16" s="10"/>
      <c r="E16" s="11"/>
      <c r="F16" s="11"/>
      <c r="G16" s="10"/>
      <c r="H16" s="11"/>
      <c r="I16" s="11"/>
      <c r="J16" s="10"/>
      <c r="K16" s="11"/>
      <c r="L16" s="11"/>
      <c r="M16" s="10"/>
      <c r="N16" s="11"/>
      <c r="O16" s="336"/>
      <c r="P16" s="336"/>
      <c r="Q16" s="336"/>
      <c r="R16" s="336"/>
      <c r="S16" s="4"/>
      <c r="U16" s="160"/>
    </row>
    <row r="17" spans="1:25" s="5" customFormat="1" ht="23.25" customHeight="1" x14ac:dyDescent="0.2">
      <c r="A17" s="137" t="s">
        <v>2</v>
      </c>
      <c r="B17" s="53">
        <f>IF(CONFIGURAR!$D$21=1,CONFIGURAR!AD44,IF(CONFIGURAR!$D$21=2,CONFIGURAR!AE44,IF(CONFIGURAR!$D$21=3,CONFIGURAR!AF44,IF(CONFIGURAR!$D$21=4,CONFIGURAR!AG44,IF(CONFIGURAR!$D$21=5,CONFIGURAR!AH44,IF(CONFIGURAR!$D$21=6,CONFIGURAR!AI44,""))))))</f>
        <v>0.42708333333333331</v>
      </c>
      <c r="C17" s="47"/>
      <c r="D17" s="3" t="str">
        <f>IF(B16="","Vencedor Jogo 4",IF(B16&gt;B18,A16,A18))</f>
        <v>Vencedor Jogo 4</v>
      </c>
      <c r="E17" s="40"/>
      <c r="F17" s="48"/>
      <c r="G17" s="10"/>
      <c r="H17" s="11"/>
      <c r="I17" s="11"/>
      <c r="L17" s="11"/>
      <c r="M17" s="10"/>
      <c r="N17" s="11"/>
      <c r="O17" s="43"/>
      <c r="P17" s="44"/>
      <c r="Q17" s="44"/>
      <c r="R17" s="43"/>
      <c r="U17" s="160"/>
    </row>
    <row r="18" spans="1:25" s="5" customFormat="1" ht="23.25" customHeight="1" x14ac:dyDescent="0.2">
      <c r="A18" s="3" t="str">
        <f>CONFIGURAR!AD14</f>
        <v>I</v>
      </c>
      <c r="B18" s="40"/>
      <c r="C18" s="48"/>
      <c r="D18" s="10"/>
      <c r="E18" s="11"/>
      <c r="F18" s="11"/>
      <c r="G18" s="137" t="s">
        <v>60</v>
      </c>
      <c r="H18" s="53">
        <f>IF(CONFIGURAR!$D$21=1,CONFIGURAR!AD52,IF(CONFIGURAR!$D$21=2,CONFIGURAR!AE52,IF(CONFIGURAR!$D$21=3,CONFIGURAR!AF52,IF(CONFIGURAR!$D$21=4,CONFIGURAR!AG52+CONFIGURAR!$D$19+CONFIGURAR!$D$20,IF(CONFIGURAR!$D$21=5,CONFIGURAR!AH52,IF(CONFIGURAR!$D$21=6,CONFIGURAR!AI52+CONFIGURAR!$D$19+CONFIGURAR!$D$20,""))))))</f>
        <v>0.45486111111111099</v>
      </c>
      <c r="I18" s="11"/>
      <c r="J18" s="3" t="str">
        <f>IF(H15="","Vencedor Jogo 12",IF(H15&gt;H21,G15,G21))</f>
        <v>Vencedor Jogo 12</v>
      </c>
      <c r="K18" s="40"/>
      <c r="L18" s="11"/>
      <c r="M18" s="10"/>
      <c r="N18" s="11"/>
      <c r="O18" s="337" t="str">
        <f>IF(N25="","Derrotado Jogo 17",IF(N25&lt;N29,M25,M29))</f>
        <v>Derrotado Jogo 17</v>
      </c>
      <c r="P18" s="337" t="str">
        <f>IF(K8="","1º Finalista",IF(K8&gt;K20,J8,J20))</f>
        <v>1º Finalista</v>
      </c>
      <c r="Q18" s="337" t="str">
        <f>IF(L8="","1º Finalista",IF(L8&gt;L20,K8,K20))</f>
        <v>1º Finalista</v>
      </c>
      <c r="R18" s="337" t="str">
        <f>IF(M12="","1º Finalista",IF(M12&gt;Q9,L8,L20))</f>
        <v>1º Finalista</v>
      </c>
      <c r="S18" s="57"/>
      <c r="T18" s="57"/>
      <c r="U18" s="160"/>
      <c r="W18" s="57"/>
      <c r="X18" s="57"/>
      <c r="Y18" s="57"/>
    </row>
    <row r="19" spans="1:25" s="5" customFormat="1" ht="23.25" customHeight="1" x14ac:dyDescent="0.2">
      <c r="A19" s="8"/>
      <c r="B19" s="9"/>
      <c r="C19" s="9"/>
      <c r="F19" s="47"/>
      <c r="H19" s="48"/>
      <c r="I19" s="48"/>
      <c r="J19" s="34"/>
      <c r="K19" s="12"/>
      <c r="L19" s="12"/>
      <c r="N19" s="11"/>
      <c r="O19" s="337" t="str">
        <f>IF(J9="","1º Finalista",IF(J9&gt;#REF!,I9,I21))</f>
        <v>1º Finalista</v>
      </c>
      <c r="P19" s="337" t="str">
        <f>IF(K9="","1º Finalista",IF(K9&gt;#REF!,J9,#REF!))</f>
        <v>1º Finalista</v>
      </c>
      <c r="Q19" s="337" t="str">
        <f>IF(L9="","1º Finalista",IF(L9&gt;L21,K9,#REF!))</f>
        <v>1º Finalista</v>
      </c>
      <c r="R19" s="337" t="str">
        <f>IF(M13="","1º Finalista",IF(M13&gt;M21,L9,L21))</f>
        <v>1º Finalista</v>
      </c>
      <c r="S19" s="4"/>
      <c r="T19" s="6"/>
      <c r="U19" s="160"/>
    </row>
    <row r="20" spans="1:25" s="5" customFormat="1" ht="23.25" customHeight="1" x14ac:dyDescent="0.2">
      <c r="A20" s="3" t="str">
        <f>CONFIGURAR!AD10</f>
        <v>E</v>
      </c>
      <c r="B20" s="40"/>
      <c r="C20" s="48"/>
      <c r="D20" s="10"/>
      <c r="E20" s="11"/>
      <c r="F20" s="11"/>
      <c r="G20" s="10"/>
      <c r="H20" s="11"/>
      <c r="I20" s="11"/>
      <c r="J20" s="10"/>
      <c r="K20" s="11"/>
      <c r="L20" s="11"/>
      <c r="S20" s="4"/>
      <c r="T20" s="6"/>
      <c r="U20" s="160"/>
    </row>
    <row r="21" spans="1:25" s="5" customFormat="1" ht="23.25" customHeight="1" x14ac:dyDescent="0.2">
      <c r="A21" s="137" t="s">
        <v>5</v>
      </c>
      <c r="B21" s="53">
        <f>IF(CONFIGURAR!$D$21=1,CONFIGURAR!AD45,IF(CONFIGURAR!$D$21=2,CONFIGURAR!AE45,IF(CONFIGURAR!$D$21=3,CONFIGURAR!AF45,IF(CONFIGURAR!$D$21=4,CONFIGURAR!AG45,IF(CONFIGURAR!$D$21=5,CONFIGURAR!AH45,IF(CONFIGURAR!$D$21=6,CONFIGURAR!AI45,""))))))</f>
        <v>0.43055555555555552</v>
      </c>
      <c r="C21" s="47"/>
      <c r="F21" s="48"/>
      <c r="G21" s="3" t="str">
        <f>IF(B20="","Vencedor Jogo 5",IF(B20&gt;B22,A20,A22))</f>
        <v>Vencedor Jogo 5</v>
      </c>
      <c r="H21" s="40"/>
      <c r="I21" s="11"/>
      <c r="L21" s="11"/>
      <c r="P21" s="54" t="s">
        <v>31</v>
      </c>
      <c r="Q21" s="48">
        <v>18</v>
      </c>
      <c r="R21" s="50">
        <v>19</v>
      </c>
      <c r="S21" s="4"/>
      <c r="T21" s="6"/>
      <c r="U21" s="160"/>
    </row>
    <row r="22" spans="1:25" s="5" customFormat="1" ht="23.25" customHeight="1" x14ac:dyDescent="0.2">
      <c r="A22" s="3" t="str">
        <f>CONFIGURAR!AD12</f>
        <v>G</v>
      </c>
      <c r="B22" s="40"/>
      <c r="C22" s="48"/>
      <c r="D22" s="10"/>
      <c r="E22" s="11"/>
      <c r="F22" s="11"/>
      <c r="G22" s="31"/>
      <c r="H22" s="47"/>
      <c r="I22" s="11"/>
      <c r="J22" s="10"/>
      <c r="K22" s="11"/>
      <c r="L22" s="11"/>
      <c r="M22" s="10"/>
      <c r="N22" s="11"/>
      <c r="O22" s="11"/>
      <c r="P22" s="55" t="str">
        <f>IF(K7="","1º Finalista",IF(K7&gt;K18,J7,J18))</f>
        <v>1º Finalista</v>
      </c>
      <c r="Q22" s="40"/>
      <c r="R22" s="24"/>
      <c r="S22" s="4"/>
      <c r="T22" s="6"/>
      <c r="U22" s="6"/>
    </row>
    <row r="23" spans="1:25" s="5" customFormat="1" ht="23.25" customHeight="1" x14ac:dyDescent="0.2">
      <c r="A23" s="8"/>
      <c r="B23" s="9"/>
      <c r="C23" s="9"/>
      <c r="D23" s="14" t="str">
        <f>IF(E5="","Derrotado Jogo 8",IF(E5&gt;E9,D9,D5))</f>
        <v>Derrotado Jogo 8</v>
      </c>
      <c r="E23" s="21"/>
      <c r="F23" s="47"/>
      <c r="I23" s="18"/>
      <c r="L23" s="50"/>
      <c r="M23" s="10"/>
      <c r="O23" s="11"/>
      <c r="P23" s="343" t="s">
        <v>30</v>
      </c>
      <c r="Q23" s="335">
        <f>N27+CONFIGURAR!$D$19+CONFIGURAR!$D$20</f>
        <v>0.47569444444444425</v>
      </c>
      <c r="R23" s="335"/>
      <c r="S23" s="4"/>
      <c r="T23" s="7"/>
      <c r="U23" s="7"/>
      <c r="V23" s="4"/>
    </row>
    <row r="24" spans="1:25" s="5" customFormat="1" ht="23.25" customHeight="1" x14ac:dyDescent="0.2">
      <c r="A24" s="14" t="str">
        <f>IF(B4="","Derrotado do jogo 1",(IF(B4&gt;B6,A6,A4)))</f>
        <v>Derrotado do jogo 1</v>
      </c>
      <c r="B24" s="21"/>
      <c r="C24" s="50"/>
      <c r="D24" s="137" t="s">
        <v>58</v>
      </c>
      <c r="E24" s="53">
        <f>IF(CONFIGURAR!$D$21=1,CONFIGURAR!AD50,IF(CONFIGURAR!$D$21=2,CONFIGURAR!AE50,IF(CONFIGURAR!$D$21=3,CONFIGURAR!AF50,IF(CONFIGURAR!$D$21=4,CONFIGURAR!AG50,IF(CONFIGURAR!$D$21=5,CONFIGURAR!AH50+CONFIGURAR!$D$19+CONFIGURAR!$D$20,IF(CONFIGURAR!$D$21=6,CONFIGURAR!AI50+CONFIGURAR!$D$19+CONFIGURAR!$D$20,""))))))</f>
        <v>0.44791666666666657</v>
      </c>
      <c r="F24" s="36"/>
      <c r="G24" s="14" t="str">
        <f>IF(E23="","Vencedor Jogo 10",IF(E23&gt;E25,D23,D25))</f>
        <v>Vencedor Jogo 10</v>
      </c>
      <c r="H24" s="21"/>
      <c r="I24" s="11"/>
      <c r="L24" s="12"/>
      <c r="M24" s="37"/>
      <c r="N24" s="11"/>
      <c r="P24" s="343"/>
      <c r="Q24" s="335"/>
      <c r="R24" s="335"/>
      <c r="S24" s="4"/>
      <c r="T24" s="7"/>
      <c r="U24" s="7"/>
      <c r="V24" s="4"/>
    </row>
    <row r="25" spans="1:25" s="5" customFormat="1" ht="23.25" customHeight="1" x14ac:dyDescent="0.2">
      <c r="A25" s="137" t="s">
        <v>61</v>
      </c>
      <c r="B25" s="53">
        <f>IF(CONFIGURAR!$D$21=1,CONFIGURAR!AD46,IF(CONFIGURAR!$D$21=2,CONFIGURAR!AE46,IF(CONFIGURAR!$D$21=3,CONFIGURAR!AF46,IF(CONFIGURAR!$D$21=4,CONFIGURAR!AG46,IF(CONFIGURAR!$D$21=5,CONFIGURAR!AH46,IF(CONFIGURAR!$D$21=6,CONFIGURAR!AI46+CONFIGURAR!$D$19+CONFIGURAR!$D$20,""))))))</f>
        <v>0.43402777777777773</v>
      </c>
      <c r="C25" s="49"/>
      <c r="D25" s="14" t="str">
        <f>IF(B24="","Vencedor Jogo 6",IF(B24&gt;B26,A24,A26))</f>
        <v>Vencedor Jogo 6</v>
      </c>
      <c r="E25" s="21"/>
      <c r="F25" s="50"/>
      <c r="G25" s="137" t="s">
        <v>10</v>
      </c>
      <c r="H25" s="53">
        <f>IF(CONFIGURAR!$D$21=1,CONFIGURAR!AD53,IF(CONFIGURAR!$D$21=2,CONFIGURAR!AE53,IF(CONFIGURAR!$D$21=3,CONFIGURAR!AF53,IF(CONFIGURAR!$D$21=4,CONFIGURAR!AG53,IF(CONFIGURAR!$D$21=5,CONFIGURAR!AH53+CONFIGURAR!$D$19+CONFIGURAR!$D$20,IF(CONFIGURAR!$D$21=6,CONFIGURAR!AI53+CONFIGURAR!$D$19+CONFIGURAR!$D$20,""))))))</f>
        <v>0.4583333333333332</v>
      </c>
      <c r="I25" s="11"/>
      <c r="J25" s="14" t="str">
        <f>IF(H24="","Vencedor Jogo 13",IF(H24&gt;H26,G24,G26))</f>
        <v>Vencedor Jogo 13</v>
      </c>
      <c r="K25" s="21"/>
      <c r="L25" s="11"/>
      <c r="M25" s="14" t="str">
        <f>IF(K25="","Vencedor Jogo 16",IF(K25&gt;K27,J25,J27))</f>
        <v>Vencedor Jogo 16</v>
      </c>
      <c r="N25" s="21"/>
      <c r="O25" s="11"/>
      <c r="S25" s="4"/>
      <c r="T25" s="7"/>
      <c r="U25" s="7"/>
      <c r="V25" s="4"/>
    </row>
    <row r="26" spans="1:25" s="5" customFormat="1" ht="23.25" customHeight="1" x14ac:dyDescent="0.2">
      <c r="A26" s="14" t="str">
        <f>IF(B8="","Derrotado do jogo 2",IF(B8&gt;B10,A10,A8))</f>
        <v>Derrotado do jogo 2</v>
      </c>
      <c r="B26" s="21"/>
      <c r="C26" s="50"/>
      <c r="D26" s="10"/>
      <c r="E26" s="11"/>
      <c r="F26" s="11"/>
      <c r="G26" s="14" t="str">
        <f>IF(B28="","Vencedor Jogo 7",IF(B28&gt;B30,A28,A30))</f>
        <v>Vencedor Jogo 7</v>
      </c>
      <c r="H26" s="21"/>
      <c r="I26" s="11"/>
      <c r="J26" s="137" t="s">
        <v>12</v>
      </c>
      <c r="K26" s="53">
        <f>IF(CONFIGURAR!$D$21=1,CONFIGURAR!AD56,IF(CONFIGURAR!$D$21=2,CONFIGURAR!AE56+CONFIGURAR!D19+CONFIGURAR!D20,IF(CONFIGURAR!$D$21=3,CONFIGURAR!AF56,IF(CONFIGURAR!$D$21=4,CONFIGURAR!AG56+CONFIGURAR!$D$19+CONFIGURAR!$D$20,IF(CONFIGURAR!$D$21=5,CONFIGURAR!AH56+CONFIGURAR!$D$19+CONFIGURAR!$D$20,IF(CONFIGURAR!$D$21=6,K12+CONFIGURAR!$D$19+CONFIGURAR!$D$20,""))))))</f>
        <v>0.46874999999999983</v>
      </c>
      <c r="L26" s="11"/>
      <c r="O26" s="18"/>
      <c r="P26" s="56" t="str">
        <f>IF(N25="","2º Finalista",IF(N25&gt;N29,M25,M29))</f>
        <v>2º Finalista</v>
      </c>
      <c r="Q26" s="21"/>
      <c r="R26" s="25"/>
      <c r="S26" s="4"/>
      <c r="T26" s="7"/>
      <c r="U26" s="7"/>
      <c r="V26" s="4"/>
    </row>
    <row r="27" spans="1:25" s="5" customFormat="1" ht="23.25" customHeight="1" x14ac:dyDescent="0.2">
      <c r="A27" s="8"/>
      <c r="B27" s="9"/>
      <c r="C27" s="9"/>
      <c r="F27" s="11"/>
      <c r="H27" s="12"/>
      <c r="I27" s="12"/>
      <c r="J27" s="14" t="str">
        <f>IF(K7="","Derrotado Jogo 15",IF(K7&gt;K18,J18,J7))</f>
        <v>Derrotado Jogo 15</v>
      </c>
      <c r="K27" s="21"/>
      <c r="L27" s="41"/>
      <c r="M27" s="137" t="s">
        <v>33</v>
      </c>
      <c r="N27" s="53">
        <f>IF(CONFIGURAR!$D$21=1,CONFIGURAR!AD57,IF(CONFIGURAR!$D$21=2,CONFIGURAR!AE57+CONFIGURAR!D19+CONFIGURAR!D20,IF(CONFIGURAR!$D$21=3,CONFIGURAR!AF57+CONFIGURAR!$D$19+CONFIGURAR!$D$20,IF(CONFIGURAR!$D$21=4,CONFIGURAR!AG57+CONFIGURAR!$D$19+CONFIGURAR!$D$20,IF(CONFIGURAR!$D$21=5,K26+CONFIGURAR!$D$19+CONFIGURAR!$D$20,IF(CONFIGURAR!$D$21=6,K26+CONFIGURAR!$D$19+CONFIGURAR!$D$20,""))))))</f>
        <v>0.47222222222222204</v>
      </c>
      <c r="O27" s="11"/>
      <c r="S27" s="4"/>
      <c r="T27" s="7"/>
      <c r="U27" s="7"/>
      <c r="V27" s="4"/>
    </row>
    <row r="28" spans="1:25" s="5" customFormat="1" ht="23.25" customHeight="1" x14ac:dyDescent="0.2">
      <c r="A28" s="14" t="str">
        <f>IF(B12="","Derrotado do jogo 3",IF(B12&gt;B14,A14,A12))</f>
        <v>Derrotado do jogo 3</v>
      </c>
      <c r="B28" s="21"/>
      <c r="C28" s="50"/>
      <c r="E28" s="50"/>
      <c r="F28" s="11"/>
      <c r="G28" s="14" t="str">
        <f>IF(H15="","Derrotado Jogo 12",IF(H15&gt;H21,G21,G15))</f>
        <v>Derrotado Jogo 12</v>
      </c>
      <c r="H28" s="21"/>
      <c r="I28" s="38"/>
      <c r="L28" s="41"/>
      <c r="O28" s="11"/>
      <c r="P28" s="11"/>
      <c r="Q28" s="10"/>
      <c r="R28" s="11"/>
      <c r="S28" s="4"/>
      <c r="T28" s="7"/>
      <c r="U28" s="7"/>
      <c r="V28" s="4"/>
    </row>
    <row r="29" spans="1:25" s="5" customFormat="1" ht="23.25" customHeight="1" x14ac:dyDescent="0.2">
      <c r="A29" s="137" t="s">
        <v>9</v>
      </c>
      <c r="B29" s="53">
        <f>IF(CONFIGURAR!$D$21=1,CONFIGURAR!AD47,IF(CONFIGURAR!$D$21=2,CONFIGURAR!AE47,IF(CONFIGURAR!$D$21=3,CONFIGURAR!AF47,IF(CONFIGURAR!$D$21=4,CONFIGURAR!AG47,IF(CONFIGURAR!$D$21=5,CONFIGURAR!AH47,IF(CONFIGURAR!$D$21=6,CONFIGURAR!AI47,""))))))</f>
        <v>0.43749999999999994</v>
      </c>
      <c r="C29" s="49"/>
      <c r="F29" s="49"/>
      <c r="G29" s="137" t="s">
        <v>29</v>
      </c>
      <c r="H29" s="53">
        <f>IF(CONFIGURAR!$D$21=1,CONFIGURAR!AD54,IF(CONFIGURAR!$D$21=2,CONFIGURAR!AE54,IF(CONFIGURAR!$D$21=3,CONFIGURAR!AF54,IF(CONFIGURAR!$D$21=4,CONFIGURAR!AG54+CONFIGURAR!$D$19+CONFIGURAR!$D$20,IF(CONFIGURAR!$D$21=5,CONFIGURAR!AH54+CONFIGURAR!$D$19+CONFIGURAR!$D$20,IF(CONFIGURAR!$D$21=6,CONFIGURAR!AI54+CONFIGURAR!$D$19+CONFIGURAR!$D$20,""))))))</f>
        <v>0.46180555555555541</v>
      </c>
      <c r="I29" s="38"/>
      <c r="L29" s="10"/>
      <c r="M29" s="14" t="str">
        <f>IF(H28="","Vencedor Jogo 14",IF(H28&gt;H30,G28,G30))</f>
        <v>Vencedor Jogo 14</v>
      </c>
      <c r="N29" s="21"/>
      <c r="O29" s="49"/>
      <c r="P29" s="10"/>
      <c r="Q29" s="39"/>
      <c r="R29" s="18"/>
      <c r="S29" s="4"/>
      <c r="T29" s="7"/>
      <c r="U29" s="7"/>
      <c r="V29" s="4"/>
    </row>
    <row r="30" spans="1:25" s="5" customFormat="1" ht="23.25" customHeight="1" x14ac:dyDescent="0.2">
      <c r="A30" s="14" t="str">
        <f>IF(B16="","Derrotado do jogo 4",IF(B16&gt;B18,A18,A16))</f>
        <v>Derrotado do jogo 4</v>
      </c>
      <c r="B30" s="21"/>
      <c r="C30" s="50"/>
      <c r="D30" s="14" t="str">
        <f>IF(E13="","Derrotado Jogo 9",IF(E13&gt;E17,D17,D13))</f>
        <v>Derrotado Jogo 9</v>
      </c>
      <c r="E30" s="21"/>
      <c r="F30" s="36"/>
      <c r="G30" s="14" t="str">
        <f>IF(E30="","Vencedor Jogo 11",IF(E30&gt;E32,D30,D32))</f>
        <v>Vencedor Jogo 11</v>
      </c>
      <c r="H30" s="21"/>
      <c r="I30" s="11"/>
      <c r="L30" s="11"/>
      <c r="M30" s="42"/>
      <c r="N30" s="11"/>
      <c r="O30" s="11"/>
      <c r="R30" s="18"/>
      <c r="S30" s="4"/>
      <c r="T30" s="7"/>
      <c r="U30" s="7"/>
    </row>
    <row r="31" spans="1:25" s="5" customFormat="1" ht="23.25" customHeight="1" x14ac:dyDescent="0.2">
      <c r="A31" s="8"/>
      <c r="B31" s="46"/>
      <c r="C31" s="9"/>
      <c r="D31" s="137" t="s">
        <v>59</v>
      </c>
      <c r="E31" s="53">
        <f>IF(CONFIGURAR!$D$21=1,CONFIGURAR!AD51,IF(CONFIGURAR!$D$21=2,CONFIGURAR!AE51,IF(CONFIGURAR!$D$21=3,CONFIGURAR!AF51,IF(CONFIGURAR!$D$21=4,CONFIGURAR!AG51+CONFIGURAR!$D$19+CONFIGURAR!$D$20,IF(CONFIGURAR!$D$21=5,CONFIGURAR!AH51,IF(CONFIGURAR!$D$21=6,CONFIGURAR!AI51+CONFIGURAR!$D$19+CONFIGURAR!$D$20,""))))))</f>
        <v>0.45138888888888878</v>
      </c>
      <c r="F31" s="50"/>
      <c r="G31" s="35"/>
      <c r="H31" s="50"/>
      <c r="I31" s="50"/>
      <c r="L31" s="11"/>
      <c r="M31" s="45"/>
      <c r="N31" s="11"/>
      <c r="O31" s="11"/>
      <c r="P31" s="10"/>
      <c r="Q31" s="10"/>
      <c r="R31" s="18"/>
      <c r="S31" s="4"/>
      <c r="T31" s="7"/>
      <c r="U31" s="7"/>
    </row>
    <row r="32" spans="1:25" s="5" customFormat="1" ht="23.25" customHeight="1" x14ac:dyDescent="0.2">
      <c r="A32" s="14" t="str">
        <f>IF(B20="","Derrotado do jogo 5",IF(B20&gt;B22,A22,A20))</f>
        <v>Derrotado do jogo 5</v>
      </c>
      <c r="B32" s="14"/>
      <c r="C32" s="9"/>
      <c r="D32" s="14" t="str">
        <f>A32</f>
        <v>Derrotado do jogo 5</v>
      </c>
      <c r="E32" s="21"/>
      <c r="F32" s="10"/>
      <c r="I32" s="11"/>
      <c r="J32" s="332" t="s">
        <v>63</v>
      </c>
      <c r="K32" s="332"/>
      <c r="L32" s="332"/>
      <c r="M32" s="332"/>
      <c r="N32" s="332"/>
      <c r="O32" s="332"/>
      <c r="P32" s="332"/>
      <c r="Q32" s="332"/>
      <c r="R32" s="332"/>
      <c r="S32" s="4"/>
      <c r="T32" s="7"/>
      <c r="U32" s="7"/>
    </row>
    <row r="33" spans="1:21" s="5" customFormat="1" ht="23.25" customHeight="1" x14ac:dyDescent="0.2">
      <c r="C33" s="50"/>
      <c r="D33" s="52"/>
      <c r="E33" s="36"/>
      <c r="F33" s="36"/>
      <c r="I33" s="26"/>
      <c r="J33" s="332"/>
      <c r="K33" s="332"/>
      <c r="L33" s="332"/>
      <c r="M33" s="332"/>
      <c r="N33" s="332"/>
      <c r="O33" s="332"/>
      <c r="P33" s="332"/>
      <c r="Q33" s="332"/>
      <c r="R33" s="332"/>
      <c r="S33" s="4"/>
      <c r="T33" s="7"/>
      <c r="U33" s="7"/>
    </row>
    <row r="34" spans="1:21" s="5" customFormat="1" ht="23.25" customHeight="1" x14ac:dyDescent="0.2">
      <c r="A34" s="26" t="s">
        <v>18</v>
      </c>
      <c r="B34" s="26"/>
      <c r="C34" s="26"/>
      <c r="D34" s="26" t="s">
        <v>19</v>
      </c>
      <c r="E34" s="26"/>
      <c r="F34" s="26"/>
      <c r="G34" s="26" t="s">
        <v>20</v>
      </c>
      <c r="H34" s="26"/>
      <c r="I34" s="30"/>
      <c r="J34" s="26" t="s">
        <v>21</v>
      </c>
      <c r="K34" s="26"/>
      <c r="L34" s="26"/>
      <c r="M34" s="26" t="s">
        <v>22</v>
      </c>
      <c r="N34" s="30"/>
      <c r="O34" s="26"/>
      <c r="P34" s="26" t="s">
        <v>23</v>
      </c>
      <c r="Q34" s="15"/>
      <c r="R34" s="15"/>
      <c r="S34" s="4"/>
      <c r="T34" s="7"/>
      <c r="U34" s="7"/>
    </row>
    <row r="35" spans="1:21" s="5" customFormat="1" ht="15.75" customHeight="1" x14ac:dyDescent="0.2">
      <c r="A35" s="28"/>
      <c r="B35" s="23"/>
      <c r="C35" s="23"/>
      <c r="D35" s="29"/>
      <c r="E35" s="30"/>
      <c r="F35" s="30"/>
      <c r="G35" s="29"/>
      <c r="H35" s="30"/>
      <c r="I35" s="30"/>
      <c r="J35" s="29"/>
      <c r="K35" s="30"/>
      <c r="L35" s="30"/>
      <c r="M35" s="29"/>
      <c r="N35" s="30"/>
      <c r="O35" s="30"/>
      <c r="P35" s="29"/>
      <c r="Q35" s="29"/>
      <c r="R35" s="30"/>
    </row>
    <row r="36" spans="1:21" s="17" customFormat="1" ht="15.75" customHeight="1" x14ac:dyDescent="0.2">
      <c r="A36" s="28"/>
      <c r="B36" s="23"/>
      <c r="C36" s="23"/>
      <c r="D36" s="29"/>
      <c r="E36" s="30"/>
      <c r="F36" s="30"/>
      <c r="G36" s="29"/>
      <c r="H36" s="30"/>
      <c r="I36" s="30"/>
      <c r="J36" s="29"/>
      <c r="K36" s="30"/>
      <c r="L36" s="30"/>
      <c r="M36" s="29"/>
      <c r="N36" s="30"/>
      <c r="O36" s="30"/>
      <c r="P36" s="29"/>
      <c r="Q36" s="29"/>
      <c r="R36" s="30"/>
    </row>
    <row r="37" spans="1:21" s="17" customFormat="1" ht="15.75" customHeight="1" x14ac:dyDescent="0.2">
      <c r="A37" s="28"/>
      <c r="B37" s="23"/>
      <c r="C37" s="23"/>
      <c r="D37" s="29"/>
      <c r="E37" s="30"/>
      <c r="F37" s="30"/>
      <c r="G37" s="29"/>
      <c r="H37" s="30"/>
      <c r="I37" s="30"/>
      <c r="J37" s="29"/>
      <c r="K37" s="30"/>
      <c r="L37" s="30"/>
      <c r="M37" s="29"/>
      <c r="N37" s="30"/>
      <c r="O37" s="30"/>
      <c r="P37" s="29"/>
      <c r="Q37" s="29"/>
      <c r="R37" s="30"/>
      <c r="S37" s="16"/>
    </row>
  </sheetData>
  <mergeCells count="12">
    <mergeCell ref="J32:R33"/>
    <mergeCell ref="J3:R4"/>
    <mergeCell ref="O11:R13"/>
    <mergeCell ref="Q23:R24"/>
    <mergeCell ref="O15:R16"/>
    <mergeCell ref="O18:R19"/>
    <mergeCell ref="M6:R7"/>
    <mergeCell ref="M5:O5"/>
    <mergeCell ref="Q5:R5"/>
    <mergeCell ref="P8:R9"/>
    <mergeCell ref="M8:O9"/>
    <mergeCell ref="P23:P24"/>
  </mergeCells>
  <phoneticPr fontId="0" type="noConversion"/>
  <conditionalFormatting sqref="A4 A6 A8 A10 A12 A14 A16 A18 A20 A22 D5 D9 D13 D17 G15 G21 J7 J18">
    <cfRule type="expression" dxfId="27" priority="1" stopIfTrue="1">
      <formula>B4&lt;&gt;""</formula>
    </cfRule>
  </conditionalFormatting>
  <conditionalFormatting sqref="B5 B9 B13 B17 B21 B25 B29 E24 E31 H25 H29 K26">
    <cfRule type="expression" dxfId="26" priority="2" stopIfTrue="1">
      <formula>B4&lt;&gt;""</formula>
    </cfRule>
  </conditionalFormatting>
  <conditionalFormatting sqref="A5 A9 A13 A17 A21 A25 A29 D24 D31 G25 G29 J26">
    <cfRule type="expression" dxfId="25" priority="3" stopIfTrue="1">
      <formula>B4&lt;&gt;""</formula>
    </cfRule>
  </conditionalFormatting>
  <conditionalFormatting sqref="D7 D15 M27">
    <cfRule type="expression" dxfId="24" priority="4" stopIfTrue="1">
      <formula>E5&lt;&gt;""</formula>
    </cfRule>
  </conditionalFormatting>
  <conditionalFormatting sqref="E7 E15 N27">
    <cfRule type="expression" dxfId="23" priority="5" stopIfTrue="1">
      <formula>E5&lt;&gt;""</formula>
    </cfRule>
  </conditionalFormatting>
  <conditionalFormatting sqref="G18">
    <cfRule type="expression" dxfId="22" priority="6" stopIfTrue="1">
      <formula>H15&lt;&gt;""</formula>
    </cfRule>
  </conditionalFormatting>
  <conditionalFormatting sqref="H18">
    <cfRule type="expression" dxfId="21" priority="7" stopIfTrue="1">
      <formula>H15&lt;&gt;""</formula>
    </cfRule>
  </conditionalFormatting>
  <conditionalFormatting sqref="J12">
    <cfRule type="expression" dxfId="20" priority="8" stopIfTrue="1">
      <formula>K7&lt;&gt;""</formula>
    </cfRule>
  </conditionalFormatting>
  <conditionalFormatting sqref="K12">
    <cfRule type="expression" dxfId="19" priority="9" stopIfTrue="1">
      <formula>K7&lt;&gt;""</formula>
    </cfRule>
  </conditionalFormatting>
  <conditionalFormatting sqref="A24 A26 A28 A30 J27 D23 D25 D30 D32 G24 G26 G28 G30 J25 M25 M29">
    <cfRule type="expression" dxfId="18" priority="10" stopIfTrue="1">
      <formula>B23&lt;&gt;""</formula>
    </cfRule>
  </conditionalFormatting>
  <conditionalFormatting sqref="A32">
    <cfRule type="expression" dxfId="17" priority="11" stopIfTrue="1">
      <formula>E32&lt;&gt;""</formula>
    </cfRule>
  </conditionalFormatting>
  <conditionalFormatting sqref="B32">
    <cfRule type="expression" dxfId="16" priority="12" stopIfTrue="1">
      <formula>E32&lt;&gt;""</formula>
    </cfRule>
  </conditionalFormatting>
  <conditionalFormatting sqref="R21">
    <cfRule type="expression" dxfId="15" priority="13" stopIfTrue="1">
      <formula>$Q$22&lt;$Q$26</formula>
    </cfRule>
  </conditionalFormatting>
  <conditionalFormatting sqref="N29 B24 B26 B28 B30 N25 E23 E25 E30 E32 H24 H26 H28 H30 K25 K27">
    <cfRule type="cellIs" dxfId="14" priority="14" stopIfTrue="1" operator="notEqual">
      <formula>""</formula>
    </cfRule>
  </conditionalFormatting>
  <conditionalFormatting sqref="H15 H21 E17 K7 E13 K18 B4 B6 B8 B10 B12 B14 B16 B18 B20 B22 E5 E9">
    <cfRule type="cellIs" dxfId="13" priority="15" stopIfTrue="1" operator="notEqual">
      <formula>""</formula>
    </cfRule>
  </conditionalFormatting>
  <conditionalFormatting sqref="X10 U5:U21 W5:AD8 Y9:AD10 T6:T8">
    <cfRule type="expression" dxfId="12" priority="16" stopIfTrue="1">
      <formula>$W$2=1</formula>
    </cfRule>
    <cfRule type="expression" dxfId="11" priority="17" stopIfTrue="1">
      <formula>$W$2=2</formula>
    </cfRule>
  </conditionalFormatting>
  <conditionalFormatting sqref="M8 M6">
    <cfRule type="expression" dxfId="10" priority="18" stopIfTrue="1">
      <formula>$R$2=1</formula>
    </cfRule>
    <cfRule type="expression" dxfId="9" priority="19" stopIfTrue="1">
      <formula>$R$2=2</formula>
    </cfRule>
  </conditionalFormatting>
  <conditionalFormatting sqref="P8">
    <cfRule type="expression" dxfId="8" priority="20" stopIfTrue="1">
      <formula>$R$2=1</formula>
    </cfRule>
    <cfRule type="expression" dxfId="7" priority="21" stopIfTrue="1">
      <formula>$R$2=2</formula>
    </cfRule>
  </conditionalFormatting>
  <conditionalFormatting sqref="P22">
    <cfRule type="expression" dxfId="6" priority="22" stopIfTrue="1">
      <formula>$K$18=""</formula>
    </cfRule>
  </conditionalFormatting>
  <conditionalFormatting sqref="R22">
    <cfRule type="expression" dxfId="5" priority="23" stopIfTrue="1">
      <formula>$Q$22&lt;$Q$26</formula>
    </cfRule>
    <cfRule type="expression" dxfId="4" priority="24" stopIfTrue="1">
      <formula>$Q$22&gt;$Q$26</formula>
    </cfRule>
  </conditionalFormatting>
  <conditionalFormatting sqref="S18:T18 W18:Y18">
    <cfRule type="expression" dxfId="3" priority="25" stopIfTrue="1">
      <formula>$W$2=1</formula>
    </cfRule>
  </conditionalFormatting>
  <conditionalFormatting sqref="Y11:AD12 X12">
    <cfRule type="expression" dxfId="2" priority="26" stopIfTrue="1">
      <formula>$W$2=1</formula>
    </cfRule>
    <cfRule type="expression" dxfId="1" priority="27" stopIfTrue="1">
      <formula>$W$2=2</formula>
    </cfRule>
  </conditionalFormatting>
  <conditionalFormatting sqref="R26">
    <cfRule type="expression" dxfId="0" priority="28" stopIfTrue="1">
      <formula>Q22&lt;Q26</formula>
    </cfRule>
  </conditionalFormatting>
  <printOptions horizontalCentered="1" verticalCentered="1"/>
  <pageMargins left="0.75" right="0.75" top="0" bottom="0" header="0" footer="0"/>
  <pageSetup paperSize="8" scale="74" orientation="landscape"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Folhas de cálculo</vt:lpstr>
      </vt:variant>
      <vt:variant>
        <vt:i4>8</vt:i4>
      </vt:variant>
      <vt:variant>
        <vt:lpstr>Intervalos com nome</vt:lpstr>
      </vt:variant>
      <vt:variant>
        <vt:i4>8</vt:i4>
      </vt:variant>
    </vt:vector>
  </HeadingPairs>
  <TitlesOfParts>
    <vt:vector size="16" baseType="lpstr">
      <vt:lpstr>CONFIGURAR</vt:lpstr>
      <vt:lpstr>JF DT</vt:lpstr>
      <vt:lpstr>JeR24</vt:lpstr>
      <vt:lpstr>JeR19</vt:lpstr>
      <vt:lpstr>JeR18</vt:lpstr>
      <vt:lpstr>JeR16</vt:lpstr>
      <vt:lpstr>JeR11</vt:lpstr>
      <vt:lpstr>JeR10</vt:lpstr>
      <vt:lpstr>CONFIGURAR!Área_de_Impressão</vt:lpstr>
      <vt:lpstr>'JeR10'!Área_de_Impressão</vt:lpstr>
      <vt:lpstr>'JeR11'!Área_de_Impressão</vt:lpstr>
      <vt:lpstr>'JeR16'!Área_de_Impressão</vt:lpstr>
      <vt:lpstr>'JeR18'!Área_de_Impressão</vt:lpstr>
      <vt:lpstr>'JeR19'!Área_de_Impressão</vt:lpstr>
      <vt:lpstr>'JeR24'!Área_de_Impressão</vt:lpstr>
      <vt:lpstr>'JF DT'!Área_de_Impressão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NB</dc:creator>
  <cp:lastModifiedBy>Nuno Branco</cp:lastModifiedBy>
  <cp:lastPrinted>2012-06-14T22:49:05Z</cp:lastPrinted>
  <dcterms:created xsi:type="dcterms:W3CDTF">2006-03-28T09:26:36Z</dcterms:created>
  <dcterms:modified xsi:type="dcterms:W3CDTF">2019-03-20T17:14:51Z</dcterms:modified>
</cp:coreProperties>
</file>